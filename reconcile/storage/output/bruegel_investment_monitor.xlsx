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9400" windowHeight="16660" tabRatio="600" firstSheet="0" activeTab="2" autoFilterDateGrouping="1"/>
  </bookViews>
  <sheets>
    <sheet name="README" sheetId="1" state="visible" r:id="rId1"/>
    <sheet name="battery" sheetId="2" state="visible" r:id="rId2"/>
    <sheet name="solar" sheetId="3" state="visible" r:id="rId3"/>
    <sheet name="vehicle" sheetId="4" state="visible" r:id="rId4"/>
    <sheet name="iron" sheetId="5" state="visible" r:id="rId5"/>
    <sheet name="wind" sheetId="6" state="visible" r:id="rId6"/>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sz val="11"/>
    </font>
    <font>
      <name val="Calibri"/>
      <family val="2"/>
      <color theme="1"/>
      <sz val="11"/>
    </font>
    <font>
      <name val="Calibri"/>
      <family val="2"/>
      <b val="1"/>
      <color theme="1"/>
      <sz val="11"/>
    </font>
    <font>
      <name val="Calibri"/>
      <family val="2"/>
      <b val="1"/>
      <color rgb="FFFFFFFF"/>
      <sz val="11"/>
    </font>
    <font>
      <name val="Calibri"/>
      <family val="2"/>
      <b val="1"/>
      <color theme="1"/>
      <sz val="11"/>
      <scheme val="minor"/>
    </font>
    <font>
      <name val="Calibri"/>
      <family val="2"/>
      <b val="1"/>
      <color theme="0"/>
      <sz val="11"/>
      <scheme val="minor"/>
    </font>
    <font>
      <name val="Calibri"/>
      <family val="2"/>
      <color theme="0"/>
      <sz val="11"/>
      <scheme val="minor"/>
    </font>
    <font>
      <name val="Calibri"/>
      <family val="2"/>
      <b val="1"/>
      <sz val="11"/>
    </font>
    <font>
      <b val="1"/>
    </font>
  </fonts>
  <fills count="4">
    <fill>
      <patternFill/>
    </fill>
    <fill>
      <patternFill patternType="gray125"/>
    </fill>
    <fill>
      <patternFill patternType="solid">
        <fgColor theme="0" tint="-0.249977111117893"/>
        <bgColor indexed="64"/>
      </patternFill>
    </fill>
    <fill>
      <patternFill patternType="solid">
        <fgColor theme="0" tint="-0.499984740745262"/>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0" borderId="1" applyAlignment="1" pivotButton="0" quotePrefix="0" xfId="0">
      <alignment horizontal="center" vertical="top"/>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0" pivotButton="0" quotePrefix="0" xfId="0"/>
    <xf numFmtId="0" fontId="6" fillId="3" borderId="0" pivotButton="0" quotePrefix="0" xfId="0"/>
    <xf numFmtId="0" fontId="7" fillId="3" borderId="0" pivotButton="0" quotePrefix="0" xfId="0"/>
    <xf numFmtId="0" fontId="5" fillId="0" borderId="0" pivotButton="0" quotePrefix="0" xfId="0"/>
    <xf numFmtId="0" fontId="2" fillId="0" borderId="0" applyAlignment="1" pivotButton="0" quotePrefix="0" xfId="0">
      <alignment vertical="center" wrapText="1"/>
    </xf>
    <xf numFmtId="0" fontId="5"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vertical="top" wrapText="1"/>
    </xf>
    <xf numFmtId="0" fontId="8" fillId="0" borderId="2" applyAlignment="1" pivotButton="0" quotePrefix="0" xfId="0">
      <alignment horizontal="center" vertical="top"/>
    </xf>
    <xf numFmtId="0" fontId="2" fillId="0" borderId="0" applyAlignment="1" pivotButton="0" quotePrefix="0" xfId="0">
      <alignment horizontal="left" vertical="top" wrapText="1"/>
    </xf>
    <xf numFmtId="0" fontId="0" fillId="0" borderId="0" pivotButton="0" quotePrefix="0" xfId="0"/>
    <xf numFmtId="0" fontId="9" fillId="0" borderId="3" applyAlignment="1" pivotButton="0" quotePrefix="0" xfId="0">
      <alignment horizontal="center"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D44"/>
  <sheetViews>
    <sheetView topLeftCell="A2" zoomScale="119" workbookViewId="0">
      <selection activeCell="E2" sqref="E2"/>
    </sheetView>
  </sheetViews>
  <sheetFormatPr baseColWidth="10" defaultColWidth="9.83203125" defaultRowHeight="15"/>
  <cols>
    <col width="3.5" customWidth="1" style="15" min="1" max="1"/>
    <col width="24.5" customWidth="1" style="7" min="2" max="2"/>
    <col width="85" customWidth="1" style="15" min="3" max="3"/>
    <col width="82.33203125" customWidth="1" style="15" min="4" max="4"/>
  </cols>
  <sheetData>
    <row r="2" ht="192" customHeight="1" s="15">
      <c r="B2" s="2" t="inlineStr">
        <is>
          <t>Database scope and coverage</t>
        </is>
      </c>
      <c r="C2" s="12" t="inlineStr">
        <is>
          <t>The database provides information on clean technology manufacturing projects, tracking investments from their initial announcement through construction and into operation. Projects are monitored over time, with their statuses updated as they progress, or if they are cancelled or delayed. Each status is associated with a specific date, where available
It includes details on:
- Products manufactured at each facility
- Manufacturing capacity
- Investment amounts. If the investment amount was not specified, it is estimated using capacity numbers
- Project ownership
- Geographic location
Only projects with either onvestment or capacity are included. The location of a facility must be specified at least at the regional level (e.g., a subnational region or city).</t>
        </is>
      </c>
      <c r="D2" s="12" t="inlineStr">
        <is>
          <t>Database version v0.01
Published on 16-12-2025</t>
        </is>
      </c>
    </row>
    <row r="3" ht="16" customHeight="1" s="15">
      <c r="B3" s="3" t="inlineStr">
        <is>
          <t>Name of the node</t>
        </is>
      </c>
      <c r="C3" s="3" t="inlineStr">
        <is>
          <t>Description</t>
        </is>
      </c>
      <c r="D3" s="3" t="inlineStr">
        <is>
          <t>Example</t>
        </is>
      </c>
    </row>
    <row r="4">
      <c r="B4" s="4" t="inlineStr">
        <is>
          <t xml:space="preserve">Variables </t>
        </is>
      </c>
      <c r="C4" s="4" t="inlineStr">
        <is>
          <t>Explanation</t>
        </is>
      </c>
      <c r="D4" s="4" t="inlineStr">
        <is>
          <t>Units and definitions</t>
        </is>
      </c>
    </row>
    <row r="5">
      <c r="B5" s="5" t="inlineStr">
        <is>
          <t xml:space="preserve">Ownership </t>
        </is>
      </c>
      <c r="C5" s="6" t="n"/>
      <c r="D5" s="6" t="n"/>
    </row>
    <row r="6" ht="32" customHeight="1" s="15">
      <c r="B6" s="7" t="inlineStr">
        <is>
          <t>owner</t>
        </is>
      </c>
      <c r="C6" s="8" t="inlineStr">
        <is>
          <t>name of a company or  joint venture who is involved in an investment or operation of a clean technology facility</t>
        </is>
      </c>
      <c r="D6" s="8" t="n"/>
    </row>
    <row r="7">
      <c r="C7" s="8" t="n"/>
    </row>
    <row r="8">
      <c r="B8" s="5" t="inlineStr">
        <is>
          <t xml:space="preserve">Facility information </t>
        </is>
      </c>
      <c r="C8" s="6" t="n"/>
      <c r="D8" s="6" t="n"/>
    </row>
    <row r="9" ht="16" customHeight="1" s="15">
      <c r="B9" s="7" t="inlineStr">
        <is>
          <t xml:space="preserve">country </t>
        </is>
      </c>
      <c r="C9" s="8" t="inlineStr">
        <is>
          <t>country where the clean technology facility is located</t>
        </is>
      </c>
      <c r="D9" t="inlineStr">
        <is>
          <t>EU countries, the UK, Switzerland</t>
        </is>
      </c>
    </row>
    <row r="10">
      <c r="B10" s="7" t="inlineStr">
        <is>
          <t>region</t>
        </is>
      </c>
      <c r="C10" t="inlineStr">
        <is>
          <t>region or the city where the clean technology facility is located</t>
        </is>
      </c>
      <c r="D10" t="inlineStr">
        <is>
          <t>regions, cities</t>
        </is>
      </c>
    </row>
    <row r="12">
      <c r="B12" s="5" t="inlineStr">
        <is>
          <t>Product</t>
        </is>
      </c>
      <c r="C12" s="6" t="n"/>
      <c r="D12" s="6" t="n"/>
    </row>
    <row r="13" ht="16" customHeight="1" s="15">
      <c r="B13" s="7" t="inlineStr">
        <is>
          <t>product_lv1</t>
        </is>
      </c>
      <c r="C13" s="8" t="inlineStr">
        <is>
          <t>technology being manufactured in a specific facility</t>
        </is>
      </c>
      <c r="D13" s="8" t="inlineStr">
        <is>
          <t xml:space="preserve">solar PV, batteries, electric vehicles </t>
        </is>
      </c>
    </row>
    <row r="14" ht="64" customHeight="1" s="15">
      <c r="B14" s="9" t="inlineStr">
        <is>
          <t>product_lv2</t>
        </is>
      </c>
      <c r="C14" s="8" t="inlineStr">
        <is>
          <t>specific component or product related to clean technology being manufactured</t>
        </is>
      </c>
      <c r="D14" s="8" t="inlineStr">
        <is>
          <t>for solar PV: polysilicon, ingot_wafer, cell, module
battery: cell, modules, eam (electrode active materials)
EV: vehicle assembly
iron: DRI (direct reducuction of iron)</t>
        </is>
      </c>
    </row>
    <row r="15" ht="48" customHeight="1" s="15">
      <c r="B15" s="9" t="inlineStr">
        <is>
          <t>phase_capacity</t>
        </is>
      </c>
      <c r="C15" s="8" t="inlineStr">
        <is>
          <t>manufacturing capacity in given units added in a specific investment phase, yearly</t>
        </is>
      </c>
      <c r="D15" s="14" t="inlineStr">
        <is>
          <t>For solar PV: GW, unless polysilicon then tonnes
battery: GWh, unless eam then tonnes
EV: number of electric vehicles
iron: tonnes</t>
        </is>
      </c>
    </row>
    <row r="16" ht="16" customHeight="1" s="15">
      <c r="B16" s="9" t="inlineStr">
        <is>
          <t>capacity_cumulative</t>
        </is>
      </c>
      <c r="C16" s="8" t="inlineStr">
        <is>
          <t>total manufacturing capacity in given units of the facility over time, yearly</t>
        </is>
      </c>
    </row>
    <row r="18">
      <c r="B18" s="5" t="inlineStr">
        <is>
          <t>Investment</t>
        </is>
      </c>
      <c r="C18" s="6" t="n"/>
      <c r="D18" s="6" t="n"/>
    </row>
    <row r="19" ht="32" customFormat="1" customHeight="1" s="10">
      <c r="B19" s="9" t="inlineStr">
        <is>
          <t>phase</t>
        </is>
      </c>
      <c r="C19" s="10" t="inlineStr">
        <is>
          <t>indicates whether the investment involves building a new facility or expanding an existing one</t>
        </is>
      </c>
      <c r="D19" s="11" t="inlineStr">
        <is>
          <t xml:space="preserve">1 new facility 
2 expansion of an existing facility </t>
        </is>
      </c>
    </row>
    <row r="20" ht="112" customHeight="1" s="15">
      <c r="B20" s="9" t="inlineStr">
        <is>
          <t xml:space="preserve">status </t>
        </is>
      </c>
      <c r="C20" s="8" t="inlineStr">
        <is>
          <t>investments are tracked through stages, with a precise date assigned to each stage</t>
        </is>
      </c>
      <c r="D20" s="8" t="inlineStr">
        <is>
          <t xml:space="preserve">announced includes public announcements about the amount of companies plan to invest in a new facility or to expand an existing manufacturing facility.
actual covers investments for projects where construction has already begun or specific funding has been secured at a particular date
operational once a specific date when a factory starts operations is available,
cancelled projects that fail to proceed or facilities that went bankrupt. 
delayed actual or announced projects that have been delayed.  </t>
        </is>
      </c>
    </row>
    <row r="21">
      <c r="B21" s="7" t="inlineStr">
        <is>
          <t>phase_investment</t>
        </is>
      </c>
      <c r="C21" t="inlineStr">
        <is>
          <t>financial amount invested in a clean technology facility in a given phase</t>
        </is>
      </c>
      <c r="D21" t="inlineStr">
        <is>
          <t>in 2023 euros, €</t>
        </is>
      </c>
    </row>
    <row r="22">
      <c r="B22" s="9" t="inlineStr">
        <is>
          <t>investment_cumulative</t>
        </is>
      </c>
      <c r="C22" t="inlineStr">
        <is>
          <t>total amount invested in the facility over time</t>
        </is>
      </c>
      <c r="D22" t="inlineStr">
        <is>
          <t>in 2023 euros, €</t>
        </is>
      </c>
    </row>
    <row r="24">
      <c r="B24" s="5" t="inlineStr">
        <is>
          <t>Dates</t>
        </is>
      </c>
      <c r="C24" s="5" t="n"/>
      <c r="D24" s="5" t="n"/>
    </row>
    <row r="25">
      <c r="B25" s="7" t="inlineStr">
        <is>
          <t>announced_on</t>
        </is>
      </c>
      <c r="C25" t="inlineStr">
        <is>
          <t>date when the investment was announced</t>
        </is>
      </c>
      <c r="D25" t="inlineStr">
        <is>
          <t>YY-MM</t>
        </is>
      </c>
    </row>
    <row r="26">
      <c r="B26" s="9" t="inlineStr">
        <is>
          <t>under_construction_on</t>
        </is>
      </c>
      <c r="C26" t="inlineStr">
        <is>
          <t>date when the investment was announced</t>
        </is>
      </c>
      <c r="D26" t="inlineStr">
        <is>
          <t>YY-MM</t>
        </is>
      </c>
    </row>
    <row r="27">
      <c r="B27" s="7" t="inlineStr">
        <is>
          <t>operational_on</t>
        </is>
      </c>
      <c r="C27" t="inlineStr">
        <is>
          <t>date when the investment was announced</t>
        </is>
      </c>
      <c r="D27" t="inlineStr">
        <is>
          <t>YY-MM</t>
        </is>
      </c>
    </row>
    <row r="29">
      <c r="B29" s="5" t="inlineStr">
        <is>
          <t>Imputation</t>
        </is>
      </c>
      <c r="C29" s="5" t="n"/>
      <c r="D29" s="5" t="n"/>
    </row>
    <row r="30" ht="16" customHeight="1" s="15">
      <c r="B30" s="9" t="inlineStr">
        <is>
          <t>investment_was_imputed</t>
        </is>
      </c>
      <c r="C30" s="8" t="inlineStr">
        <is>
          <t>if the investment amount was not specified, it was estimated using capacity numbers</t>
        </is>
      </c>
      <c r="D30" s="8" t="inlineStr">
        <is>
          <t>TRUE or FALSE</t>
        </is>
      </c>
    </row>
    <row r="31" ht="16" customHeight="1" s="15">
      <c r="B31" s="9" t="inlineStr">
        <is>
          <t>ann_date_imputed</t>
        </is>
      </c>
      <c r="C31" s="8" t="inlineStr">
        <is>
          <t>announced date was imputed from either the under construction or operational date</t>
        </is>
      </c>
      <c r="D31" s="8" t="inlineStr">
        <is>
          <t>TRUE or FALSE</t>
        </is>
      </c>
    </row>
    <row r="32" ht="16" customHeight="1" s="15">
      <c r="B32" s="9" t="inlineStr">
        <is>
          <t>uc_date_imputed</t>
        </is>
      </c>
      <c r="C32" s="8" t="inlineStr">
        <is>
          <t>under construction date was imputed at a certain interval before the operational date</t>
        </is>
      </c>
      <c r="D32" s="8" t="inlineStr">
        <is>
          <t>TRUE or FALSE</t>
        </is>
      </c>
    </row>
    <row r="33" ht="16" customHeight="1" s="15">
      <c r="B33" s="9" t="inlineStr">
        <is>
          <t>op_date_imputed</t>
        </is>
      </c>
      <c r="C33" s="8" t="inlineStr">
        <is>
          <t>operational date was imputed at a certain interval after the under construction date</t>
        </is>
      </c>
      <c r="D33" s="8" t="inlineStr">
        <is>
          <t>TRUE or FALSE</t>
        </is>
      </c>
    </row>
    <row r="34" ht="16" customHeight="1" s="15">
      <c r="B34" s="9" t="n"/>
      <c r="C34" s="8" t="n"/>
      <c r="D34" s="8" t="n"/>
    </row>
    <row r="35">
      <c r="B35" s="5" t="inlineStr">
        <is>
          <t>Sources</t>
        </is>
      </c>
      <c r="C35" s="5" t="n"/>
      <c r="D35" s="5" t="n"/>
    </row>
    <row r="36">
      <c r="B36" s="7" t="inlineStr">
        <is>
          <t>status_url</t>
        </is>
      </c>
      <c r="C36" t="inlineStr">
        <is>
          <t>link for the source on project status information</t>
        </is>
      </c>
      <c r="D36" t="inlineStr">
        <is>
          <t>url</t>
        </is>
      </c>
    </row>
    <row r="37">
      <c r="B37" s="7" t="inlineStr">
        <is>
          <t>capacity_url</t>
        </is>
      </c>
      <c r="C37" t="inlineStr">
        <is>
          <t>link for the source on manufacturing capacity data</t>
        </is>
      </c>
      <c r="D37" t="inlineStr">
        <is>
          <t>url</t>
        </is>
      </c>
    </row>
    <row r="38">
      <c r="B38" s="7" t="inlineStr">
        <is>
          <t>investment_url</t>
        </is>
      </c>
      <c r="C38" t="inlineStr">
        <is>
          <t>link for the source on investment amounts</t>
        </is>
      </c>
      <c r="D38" t="inlineStr">
        <is>
          <t>url</t>
        </is>
      </c>
    </row>
    <row r="39">
      <c r="B39" s="7" t="inlineStr">
        <is>
          <t>announced_url</t>
        </is>
      </c>
      <c r="C39" t="inlineStr">
        <is>
          <t>link for the source on announcement date</t>
        </is>
      </c>
      <c r="D39" t="inlineStr">
        <is>
          <t>url</t>
        </is>
      </c>
    </row>
    <row r="40">
      <c r="B40" s="7" t="inlineStr">
        <is>
          <t>under_construction_url</t>
        </is>
      </c>
      <c r="C40" t="inlineStr">
        <is>
          <t>link for the source on construction start date</t>
        </is>
      </c>
      <c r="D40" t="inlineStr">
        <is>
          <t>url</t>
        </is>
      </c>
    </row>
    <row r="41">
      <c r="B41" s="7" t="inlineStr">
        <is>
          <t>operational_url</t>
        </is>
      </c>
      <c r="C41" t="inlineStr">
        <is>
          <t>link for the source on operational status date</t>
        </is>
      </c>
      <c r="D41" t="inlineStr">
        <is>
          <t>url</t>
        </is>
      </c>
    </row>
    <row r="43">
      <c r="C43" s="8" t="n"/>
      <c r="D43" s="8" t="n"/>
    </row>
    <row r="44">
      <c r="C44" s="8" t="n"/>
      <c r="D44" s="8" t="n"/>
    </row>
  </sheetData>
  <mergeCells count="1">
    <mergeCell ref="D15:D1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171"/>
  <sheetViews>
    <sheetView workbookViewId="0">
      <selection activeCell="A1" sqref="A1"/>
    </sheetView>
  </sheetViews>
  <sheetFormatPr baseColWidth="8" defaultRowHeight="15"/>
  <sheetData>
    <row r="1">
      <c r="A1" s="16" t="inlineStr">
        <is>
          <t>owner</t>
        </is>
      </c>
      <c r="B1" s="16" t="inlineStr">
        <is>
          <t>country</t>
        </is>
      </c>
      <c r="C1" s="16" t="inlineStr">
        <is>
          <t>region</t>
        </is>
      </c>
      <c r="D1" s="16" t="inlineStr">
        <is>
          <t>product_lv1</t>
        </is>
      </c>
      <c r="E1" s="16" t="inlineStr">
        <is>
          <t>product_lv2</t>
        </is>
      </c>
      <c r="F1" s="16" t="inlineStr">
        <is>
          <t>phase</t>
        </is>
      </c>
      <c r="G1" s="16" t="inlineStr">
        <is>
          <t>status</t>
        </is>
      </c>
      <c r="H1" s="16" t="inlineStr">
        <is>
          <t>phase_capacity</t>
        </is>
      </c>
      <c r="I1" s="16" t="inlineStr">
        <is>
          <t>capacity_cumulative</t>
        </is>
      </c>
      <c r="J1" s="16" t="inlineStr">
        <is>
          <t>phase_investment</t>
        </is>
      </c>
      <c r="K1" s="16" t="inlineStr">
        <is>
          <t>investment_cumulative</t>
        </is>
      </c>
      <c r="L1" s="16" t="inlineStr">
        <is>
          <t>investment_was_imputed</t>
        </is>
      </c>
      <c r="M1" s="16" t="inlineStr">
        <is>
          <t>announced_on</t>
        </is>
      </c>
      <c r="N1" s="16" t="inlineStr">
        <is>
          <t>under_construction_on</t>
        </is>
      </c>
      <c r="O1" s="16" t="inlineStr">
        <is>
          <t>operational_on</t>
        </is>
      </c>
      <c r="P1" s="16" t="inlineStr">
        <is>
          <t>ann_date_imputed</t>
        </is>
      </c>
      <c r="Q1" s="16" t="inlineStr">
        <is>
          <t>uc_date_imputed</t>
        </is>
      </c>
      <c r="R1" s="16" t="inlineStr">
        <is>
          <t>op_date_imputed</t>
        </is>
      </c>
      <c r="S1" s="16" t="inlineStr">
        <is>
          <t>status_url</t>
        </is>
      </c>
      <c r="T1" s="16" t="inlineStr">
        <is>
          <t>capacity_url</t>
        </is>
      </c>
      <c r="U1" s="16" t="inlineStr">
        <is>
          <t>investment_url</t>
        </is>
      </c>
      <c r="V1" s="16" t="inlineStr">
        <is>
          <t>announced_url</t>
        </is>
      </c>
      <c r="W1" s="16" t="inlineStr">
        <is>
          <t>under_construction_url</t>
        </is>
      </c>
      <c r="X1" s="16" t="inlineStr">
        <is>
          <t>operational_url</t>
        </is>
      </c>
      <c r="Y1" s="16" t="inlineStr">
        <is>
          <t>project_id</t>
        </is>
      </c>
    </row>
    <row r="2">
      <c r="A2" t="inlineStr">
        <is>
          <t>a123 systems llc</t>
        </is>
      </c>
      <c r="B2" t="inlineStr">
        <is>
          <t>CZ</t>
        </is>
      </c>
      <c r="C2" t="inlineStr">
        <is>
          <t>Ostrava</t>
        </is>
      </c>
      <c r="D2" t="inlineStr">
        <is>
          <t>battery</t>
        </is>
      </c>
      <c r="E2" t="inlineStr">
        <is>
          <t>cell, module_pack</t>
        </is>
      </c>
      <c r="F2" t="n">
        <v>1</v>
      </c>
      <c r="G2" t="inlineStr">
        <is>
          <t>announced</t>
        </is>
      </c>
      <c r="H2" t="n">
        <v>0.5</v>
      </c>
      <c r="I2" t="n">
        <v>0.5</v>
      </c>
      <c r="J2" t="n">
        <v>40000000</v>
      </c>
      <c r="K2" t="n">
        <v>40000000</v>
      </c>
      <c r="L2" t="b">
        <v>1</v>
      </c>
      <c r="M2" t="inlineStr">
        <is>
          <t>2016-03</t>
        </is>
      </c>
      <c r="N2" t="inlineStr"/>
      <c r="O2" t="inlineStr"/>
      <c r="P2" t="b">
        <v>0</v>
      </c>
      <c r="Q2" t="b">
        <v>0</v>
      </c>
      <c r="R2" t="b">
        <v>0</v>
      </c>
      <c r="S2">
        <f>HYPERLINK("https://www.batterypoweronline.com/news/a123-systems-announces-new-manufacturing-facility-in-the-czech-republic-2/?utm_source=chatgpt.com", "source")</f>
        <v/>
      </c>
      <c r="T2">
        <f>HYPERLINK("https://www.batterypoweronline.com/news/a123-systems-announces-new-manufacturing-facility-in-the-czech-republic-2/?utm_source=chatgpt.com", "source")</f>
        <v/>
      </c>
      <c r="U2">
        <f>HYPERLINK("https://www.batterypoweronline.com/news/a123-systems-announces-new-manufacturing-facility-in-the-czech-republic-2/?utm_source=chatgpt.com", "source")</f>
        <v/>
      </c>
      <c r="V2">
        <f>HYPERLINK("https://www.batterypoweronline.com/news/a123-systems-announces-new-manufacturing-facility-in-the-czech-republic-2/?utm_source=chatgpt.com", "source")</f>
        <v/>
      </c>
      <c r="W2" t="inlineStr"/>
      <c r="X2" t="inlineStr"/>
      <c r="Y2" t="inlineStr">
        <is>
          <t>44e53108-1ae7-5223-bcf7-73a3e537fef0</t>
        </is>
      </c>
    </row>
    <row r="3">
      <c r="A3" t="inlineStr">
        <is>
          <t>accumotive</t>
        </is>
      </c>
      <c r="B3" t="inlineStr">
        <is>
          <t>DE</t>
        </is>
      </c>
      <c r="C3" t="inlineStr">
        <is>
          <t>Kamenz</t>
        </is>
      </c>
      <c r="D3" t="inlineStr">
        <is>
          <t>battery</t>
        </is>
      </c>
      <c r="E3" t="inlineStr">
        <is>
          <t>cell, module_pack</t>
        </is>
      </c>
      <c r="F3" t="n">
        <v>1</v>
      </c>
      <c r="G3" t="inlineStr">
        <is>
          <t>operational</t>
        </is>
      </c>
      <c r="H3" t="n">
        <v>1e-06</v>
      </c>
      <c r="I3" t="n">
        <v>1e-06</v>
      </c>
      <c r="J3" t="n">
        <v>500000000</v>
      </c>
      <c r="K3" t="n">
        <v>500000000</v>
      </c>
      <c r="L3" t="b">
        <v>0</v>
      </c>
      <c r="M3" t="inlineStr">
        <is>
          <t>2016-10</t>
        </is>
      </c>
      <c r="N3" t="inlineStr">
        <is>
          <t>2016-10</t>
        </is>
      </c>
      <c r="O3" t="inlineStr">
        <is>
          <t>2019-02</t>
        </is>
      </c>
      <c r="P3" t="b">
        <v>0</v>
      </c>
      <c r="Q3" t="b">
        <v>0</v>
      </c>
      <c r="R3" t="b">
        <v>0</v>
      </c>
      <c r="S3">
        <f>HYPERLINK("https://www.electrive.com/2019/02/07/tennet-mercedes-benz-energy-team-up/", "source")</f>
        <v/>
      </c>
      <c r="T3">
        <f>HYPERLINK("https://www.electrive.com/2019/02/07/tennet-mercedes-benz-energy-team-up/", "source")</f>
        <v/>
      </c>
      <c r="U3">
        <f>HYPERLINK("https://www.electrive.com/2016/10/25/daimler-lynkco-faraday-future-gm-nissan-suzuki/", "source")</f>
        <v/>
      </c>
      <c r="V3">
        <f>HYPERLINK("https://www.electrive.com/2016/10/25/daimler-lynkco-faraday-future-gm-nissan-suzuki/", "source")</f>
        <v/>
      </c>
      <c r="W3">
        <f>HYPERLINK("https://www.electrive.com/2016/10/25/daimler-lynkco-faraday-future-gm-nissan-suzuki/", "source")</f>
        <v/>
      </c>
      <c r="X3">
        <f>HYPERLINK("https://www.electrive.com/2019/02/07/tennet-mercedes-benz-energy-team-up/", "source")</f>
        <v/>
      </c>
      <c r="Y3" t="inlineStr">
        <is>
          <t>f7c13b73-7695-5b4f-a03c-b2a2c7490f93</t>
        </is>
      </c>
    </row>
    <row r="4">
      <c r="A4" t="inlineStr">
        <is>
          <t>aesc</t>
        </is>
      </c>
      <c r="B4" t="inlineStr">
        <is>
          <t>ES</t>
        </is>
      </c>
      <c r="C4" t="inlineStr">
        <is>
          <t>Navalmoral de la Mata</t>
        </is>
      </c>
      <c r="D4" t="inlineStr">
        <is>
          <t>battery</t>
        </is>
      </c>
      <c r="E4" t="inlineStr">
        <is>
          <t>cell</t>
        </is>
      </c>
      <c r="F4" t="n">
        <v>1</v>
      </c>
      <c r="G4" t="inlineStr">
        <is>
          <t>under construction</t>
        </is>
      </c>
      <c r="H4" t="n">
        <v>30</v>
      </c>
      <c r="I4" t="n">
        <v>30</v>
      </c>
      <c r="J4" t="n">
        <v>1023731968</v>
      </c>
      <c r="K4" t="n">
        <v>1023731968</v>
      </c>
      <c r="L4" t="b">
        <v>0</v>
      </c>
      <c r="M4" t="inlineStr">
        <is>
          <t>2022-04</t>
        </is>
      </c>
      <c r="N4" t="inlineStr">
        <is>
          <t>2024-07</t>
        </is>
      </c>
      <c r="O4" t="inlineStr">
        <is>
          <t>2027-07</t>
        </is>
      </c>
      <c r="P4" t="b">
        <v>0</v>
      </c>
      <c r="Q4" t="b">
        <v>0</v>
      </c>
      <c r="R4" t="b">
        <v>1</v>
      </c>
      <c r="S4">
        <f>HYPERLINK("https://www.just-auto.com/news/ai-cheap-evs-future-chevy-the-week/", "source")</f>
        <v/>
      </c>
      <c r="T4">
        <f>HYPERLINK("https://www.just-auto.com/news/ai-cheap-evs-future-chevy-the-week/", "source")</f>
        <v/>
      </c>
      <c r="U4">
        <f>HYPERLINK("https://www.just-auto.com/news/ai-cheap-evs-future-chevy-the-week/", "source")</f>
        <v/>
      </c>
      <c r="V4">
        <f>HYPERLINK("https://www.electrive.com/2022/04/14/envision-aesc-to-build-battery-plant-in-kentucky/", "source")</f>
        <v/>
      </c>
      <c r="W4">
        <f>HYPERLINK("https://www.just-auto.com/news/ai-cheap-evs-future-chevy-the-week/", "source")</f>
        <v/>
      </c>
      <c r="X4" t="inlineStr"/>
      <c r="Y4" t="inlineStr">
        <is>
          <t>6257cf69-878b-5743-9a6c-f1093e787b64</t>
        </is>
      </c>
    </row>
    <row r="5">
      <c r="A5" t="inlineStr">
        <is>
          <t>aesc</t>
        </is>
      </c>
      <c r="B5" t="inlineStr">
        <is>
          <t>FR</t>
        </is>
      </c>
      <c r="C5" t="inlineStr">
        <is>
          <t>Douai</t>
        </is>
      </c>
      <c r="D5" t="inlineStr">
        <is>
          <t>battery</t>
        </is>
      </c>
      <c r="E5" t="inlineStr">
        <is>
          <t>cell, eam, module_pack</t>
        </is>
      </c>
      <c r="F5" t="n">
        <v>1</v>
      </c>
      <c r="G5" t="inlineStr">
        <is>
          <t>operational</t>
        </is>
      </c>
      <c r="H5" t="n">
        <v>10</v>
      </c>
      <c r="I5" t="n">
        <v>10</v>
      </c>
      <c r="J5" t="n">
        <v>1300000000</v>
      </c>
      <c r="K5" t="n">
        <v>1300000000</v>
      </c>
      <c r="L5" t="b">
        <v>0</v>
      </c>
      <c r="M5" t="inlineStr">
        <is>
          <t>2021-06</t>
        </is>
      </c>
      <c r="N5" t="inlineStr">
        <is>
          <t>2023-11</t>
        </is>
      </c>
      <c r="O5" t="inlineStr">
        <is>
          <t>2025-06</t>
        </is>
      </c>
      <c r="P5" t="b">
        <v>0</v>
      </c>
      <c r="Q5" t="b">
        <v>0</v>
      </c>
      <c r="R5" t="b">
        <v>0</v>
      </c>
      <c r="S5">
        <f>HYPERLINK("https://www.electrive.com/2025/06/10/aesc-kicks-off-battery-production-at-douai-gigafactory/", "source")</f>
        <v/>
      </c>
      <c r="T5">
        <f>HYPERLINK("https://www.electrive.com/2025/06/10/aesc-kicks-off-battery-production-at-douai-gigafactory/", "source")</f>
        <v/>
      </c>
      <c r="U5">
        <f>HYPERLINK("https://www.electrive.com/2025/06/10/aesc-kicks-off-battery-production-at-douai-gigafactory/", "source")</f>
        <v/>
      </c>
      <c r="V5">
        <f>HYPERLINK("https://www.electrive.com/2021/06/25/envision-aesc-to-build-battery-factory-in-france/", "source")</f>
        <v/>
      </c>
      <c r="W5">
        <f>HYPERLINK("https://www.electrive.com/2023/11/23/renault-may-get-battery-cells-made-in-spain-from-chinas-aesc/", "source")</f>
        <v/>
      </c>
      <c r="X5">
        <f>HYPERLINK("https://www.electrive.com/2025/06/10/aesc-kicks-off-battery-production-at-douai-gigafactory/", "source")</f>
        <v/>
      </c>
      <c r="Y5" t="inlineStr">
        <is>
          <t>fc4e2eb6-f865-5470-bcc4-ee5abf4f8c46</t>
        </is>
      </c>
    </row>
    <row r="6">
      <c r="A6" t="inlineStr">
        <is>
          <t>aesc</t>
        </is>
      </c>
      <c r="B6" t="inlineStr">
        <is>
          <t>FR</t>
        </is>
      </c>
      <c r="C6" t="inlineStr">
        <is>
          <t>Douai</t>
        </is>
      </c>
      <c r="D6" t="inlineStr">
        <is>
          <t>battery</t>
        </is>
      </c>
      <c r="E6" t="inlineStr">
        <is>
          <t>cell, eam, module_pack</t>
        </is>
      </c>
      <c r="F6" t="n">
        <v>2</v>
      </c>
      <c r="G6" t="inlineStr">
        <is>
          <t>announced</t>
        </is>
      </c>
      <c r="H6" t="n">
        <v>17</v>
      </c>
      <c r="I6" t="n">
        <v>27</v>
      </c>
      <c r="J6" t="n">
        <v>700000000</v>
      </c>
      <c r="K6" t="n">
        <v>2000000000</v>
      </c>
      <c r="L6" t="b">
        <v>0</v>
      </c>
      <c r="M6" t="inlineStr">
        <is>
          <t>2021-06</t>
        </is>
      </c>
      <c r="N6" t="inlineStr"/>
      <c r="O6" t="inlineStr"/>
      <c r="P6" t="b">
        <v>0</v>
      </c>
      <c r="Q6" t="b">
        <v>0</v>
      </c>
      <c r="R6" t="b">
        <v>0</v>
      </c>
      <c r="S6">
        <f>HYPERLINK("https://www.electrive.com/2025/02/03/aesc-receives-48-million-euros-grant-for-cell-factory-in-france/", "source")</f>
        <v/>
      </c>
      <c r="T6">
        <f>HYPERLINK("https://www.electrive.com/2025/02/03/aesc-receives-48-million-euros-grant-for-cell-factory-in-france/", "source")</f>
        <v/>
      </c>
      <c r="U6">
        <f>HYPERLINK("https://www.electrive.com/2021/06/25/envision-aesc-to-build-battery-factory-in-france/", "source")</f>
        <v/>
      </c>
      <c r="V6">
        <f>HYPERLINK("https://www.electrive.com/2021/06/25/envision-aesc-to-build-battery-factory-in-france/", "source")</f>
        <v/>
      </c>
      <c r="W6" t="inlineStr"/>
      <c r="X6" t="inlineStr"/>
      <c r="Y6" t="inlineStr">
        <is>
          <t>fc4e2eb6-f865-5470-bcc4-ee5abf4f8c46</t>
        </is>
      </c>
    </row>
    <row r="7">
      <c r="A7" t="inlineStr">
        <is>
          <t>aesc</t>
        </is>
      </c>
      <c r="B7" t="inlineStr">
        <is>
          <t>GB</t>
        </is>
      </c>
      <c r="C7" t="inlineStr">
        <is>
          <t>Sunderland</t>
        </is>
      </c>
      <c r="D7" t="inlineStr">
        <is>
          <t>battery</t>
        </is>
      </c>
      <c r="E7" t="inlineStr">
        <is>
          <t>cell, eam, module_pack</t>
        </is>
      </c>
      <c r="F7" t="n">
        <v>1</v>
      </c>
      <c r="G7" t="inlineStr">
        <is>
          <t>operational</t>
        </is>
      </c>
      <c r="H7" t="n">
        <v>1.8</v>
      </c>
      <c r="I7" t="n">
        <v>1.8</v>
      </c>
      <c r="J7" t="n">
        <v>463218264</v>
      </c>
      <c r="K7" t="n">
        <v>463218264</v>
      </c>
      <c r="L7" t="b">
        <v>0</v>
      </c>
      <c r="M7" t="inlineStr">
        <is>
          <t>2010-03</t>
        </is>
      </c>
      <c r="N7" t="inlineStr">
        <is>
          <t>2010-03</t>
        </is>
      </c>
      <c r="O7" t="inlineStr">
        <is>
          <t>2012-12</t>
        </is>
      </c>
      <c r="P7" t="b">
        <v>0</v>
      </c>
      <c r="Q7" t="b">
        <v>0</v>
      </c>
      <c r="R7" t="b">
        <v>0</v>
      </c>
      <c r="S7">
        <f>HYPERLINK("https://energydigital.com/articles/how-aesc-will-build-a-1bn-sustainable-transport-gigafactory?utm_source=chatgpt.com", "source")</f>
        <v/>
      </c>
      <c r="T7">
        <f>HYPERLINK("https://energydigital.com/articles/how-aesc-will-build-a-1bn-sustainable-transport-gigafactory?utm_source=chatgpt.com", "source")</f>
        <v/>
      </c>
      <c r="U7">
        <f>HYPERLINK("https://europe.nissannews.com/en-GB/releases/release-6480-nissan-to-build-leaf-electric-vehicle-in-sunderland?utm_source=chatgpt.com", "source")</f>
        <v/>
      </c>
      <c r="V7">
        <f>HYPERLINK("https://europe.nissannews.com/en-GB/releases/release-6480-nissan-to-build-leaf-electric-vehicle-in-sunderland?utm_source=chatgpt.com", "source")</f>
        <v/>
      </c>
      <c r="W7">
        <f>HYPERLINK("https://europe.nissannews.com/en-GB/releases/release-6480-nissan-to-build-leaf-electric-vehicle-in-sunderland?utm_source=chatgpt.com", "source")</f>
        <v/>
      </c>
      <c r="X7">
        <f>HYPERLINK("https://aesc.co.uk/?utm_source=chatgpt.com", "source")</f>
        <v/>
      </c>
      <c r="Y7" t="inlineStr">
        <is>
          <t>751a497b-7ff6-5b01-9415-4bb9c8e5c404</t>
        </is>
      </c>
    </row>
    <row r="8">
      <c r="A8" t="inlineStr">
        <is>
          <t>aesc</t>
        </is>
      </c>
      <c r="B8" t="inlineStr">
        <is>
          <t>GB</t>
        </is>
      </c>
      <c r="C8" t="inlineStr">
        <is>
          <t>Sunderland</t>
        </is>
      </c>
      <c r="D8" t="inlineStr">
        <is>
          <t>battery</t>
        </is>
      </c>
      <c r="E8" t="inlineStr">
        <is>
          <t>cell, eam, module_pack</t>
        </is>
      </c>
      <c r="F8" t="n">
        <v>2</v>
      </c>
      <c r="G8" t="inlineStr">
        <is>
          <t>under construction</t>
        </is>
      </c>
      <c r="H8" t="n">
        <v>14</v>
      </c>
      <c r="I8" t="n">
        <v>15.8</v>
      </c>
      <c r="J8" t="n">
        <v>709733469</v>
      </c>
      <c r="K8" t="n">
        <v>1172951733</v>
      </c>
      <c r="L8" t="b">
        <v>0</v>
      </c>
      <c r="M8" t="inlineStr">
        <is>
          <t>2010-03</t>
        </is>
      </c>
      <c r="N8" t="inlineStr">
        <is>
          <t>2021-10</t>
        </is>
      </c>
      <c r="O8" t="inlineStr">
        <is>
          <t>2024-10</t>
        </is>
      </c>
      <c r="P8" t="b">
        <v>0</v>
      </c>
      <c r="Q8" t="b">
        <v>0</v>
      </c>
      <c r="R8" t="b">
        <v>1</v>
      </c>
      <c r="S8">
        <f>HYPERLINK("https://www.theguardian.com/business/2025/may/09/aesc-second-sunderland-gigafactory-after-securing-funding-government-battery-maker?utm_source=chatgpt.com", "source")</f>
        <v/>
      </c>
      <c r="T8">
        <f>HYPERLINK("https://www.theguardian.com/business/2025/may/09/aesc-second-sunderland-gigafactory-after-securing-funding-government-battery-maker?utm_source=chatgpt.com", "source")</f>
        <v/>
      </c>
      <c r="U8">
        <f>HYPERLINK("https://www.theguardian.com/business/2025/may/09/aesc-second-sunderland-gigafactory-after-securing-funding-government-battery-maker?utm_source=chatgpt.com", "source")</f>
        <v/>
      </c>
      <c r="V8">
        <f>HYPERLINK("https://europe.nissannews.com/en-GB/releases/release-6480-nissan-to-build-leaf-electric-vehicle-in-sunderland?utm_source=chatgpt.com", "source")</f>
        <v/>
      </c>
      <c r="W8">
        <f>HYPERLINK("https://www.electrive.com/2021/10/21/coventry-gigafactory-targets-60-gwh-capacity/", "source")</f>
        <v/>
      </c>
      <c r="X8" t="inlineStr"/>
      <c r="Y8" t="inlineStr">
        <is>
          <t>751a497b-7ff6-5b01-9415-4bb9c8e5c404</t>
        </is>
      </c>
    </row>
    <row r="9">
      <c r="A9" t="inlineStr">
        <is>
          <t>agratas</t>
        </is>
      </c>
      <c r="B9" t="inlineStr">
        <is>
          <t>GB</t>
        </is>
      </c>
      <c r="C9" t="inlineStr">
        <is>
          <t>Somerset</t>
        </is>
      </c>
      <c r="D9" t="inlineStr">
        <is>
          <t>battery</t>
        </is>
      </c>
      <c r="E9" t="inlineStr">
        <is>
          <t>cell</t>
        </is>
      </c>
      <c r="F9" t="n">
        <v>1</v>
      </c>
      <c r="G9" t="inlineStr">
        <is>
          <t>under construction</t>
        </is>
      </c>
      <c r="H9" t="n">
        <v>40</v>
      </c>
      <c r="I9" t="n">
        <v>40</v>
      </c>
      <c r="J9" t="n">
        <v>4657661854</v>
      </c>
      <c r="K9" t="n">
        <v>4657661854</v>
      </c>
      <c r="L9" t="b">
        <v>0</v>
      </c>
      <c r="M9" t="inlineStr">
        <is>
          <t>2023-05</t>
        </is>
      </c>
      <c r="N9" t="inlineStr">
        <is>
          <t>2024-02</t>
        </is>
      </c>
      <c r="O9" t="inlineStr">
        <is>
          <t>2027-02</t>
        </is>
      </c>
      <c r="P9" t="b">
        <v>0</v>
      </c>
      <c r="Q9" t="b">
        <v>0</v>
      </c>
      <c r="R9" t="b">
        <v>1</v>
      </c>
      <c r="S9">
        <f>HYPERLINK("https://www.world-energy.org/article/49520.html", "source")</f>
        <v/>
      </c>
      <c r="T9">
        <f>HYPERLINK("https://www.world-energy.org/article/49520.html", "source")</f>
        <v/>
      </c>
      <c r="U9">
        <f>HYPERLINK("https://www.automotivemanufacturingsolutions.com/analysis/uk-auto-production-prospects-improving/533456", "source")</f>
        <v/>
      </c>
      <c r="V9">
        <f>HYPERLINK("https://www.electrive.com/2023/05/25/tata-to-pick-the-uk-over-spain-to-build-new-battery-plant/", "source")</f>
        <v/>
      </c>
      <c r="W9">
        <f>HYPERLINK("https://www.just-auto.com/news/britains-biggest-battery-factory-under-way-in-somerset/", "source")</f>
        <v/>
      </c>
      <c r="X9" t="inlineStr"/>
      <c r="Y9" t="inlineStr">
        <is>
          <t>804c0788-c53c-529a-98a5-9b56221121c9</t>
        </is>
      </c>
    </row>
    <row r="10">
      <c r="A10" t="inlineStr">
        <is>
          <t>akasol</t>
        </is>
      </c>
      <c r="B10" t="inlineStr">
        <is>
          <t>DE</t>
        </is>
      </c>
      <c r="C10" t="inlineStr">
        <is>
          <t>Darmstadt, Wissenschaftsstadt</t>
        </is>
      </c>
      <c r="D10" t="inlineStr">
        <is>
          <t>battery</t>
        </is>
      </c>
      <c r="E10" t="inlineStr">
        <is>
          <t>module_pack</t>
        </is>
      </c>
      <c r="F10" t="n">
        <v>1</v>
      </c>
      <c r="G10" t="inlineStr">
        <is>
          <t>operational</t>
        </is>
      </c>
      <c r="H10" t="n">
        <v>1</v>
      </c>
      <c r="I10" t="n">
        <v>1</v>
      </c>
      <c r="J10" t="n">
        <v>40000000</v>
      </c>
      <c r="K10" t="n">
        <v>40000000</v>
      </c>
      <c r="L10" t="b">
        <v>1</v>
      </c>
      <c r="M10" t="inlineStr">
        <is>
          <t>2018-08</t>
        </is>
      </c>
      <c r="N10" t="inlineStr">
        <is>
          <t>2018-08</t>
        </is>
      </c>
      <c r="O10" t="inlineStr">
        <is>
          <t>2021-08</t>
        </is>
      </c>
      <c r="P10" t="b">
        <v>1</v>
      </c>
      <c r="Q10" t="b">
        <v>1</v>
      </c>
      <c r="R10" t="b">
        <v>0</v>
      </c>
      <c r="S10">
        <f>HYPERLINK("https://www.electrive.com/2021/08/17/akasol-starts-up-battery-production-at-new-plant-in-darmstadt/", "source")</f>
        <v/>
      </c>
      <c r="T10">
        <f>HYPERLINK("https://www.electrive.com/2021/08/17/akasol-starts-up-battery-production-at-new-plant-in-darmstadt/", "source")</f>
        <v/>
      </c>
      <c r="U10">
        <f>HYPERLINK("https://www.electrive.com/2021/08/17/akasol-starts-up-battery-production-at-new-plant-in-darmstadt/", "source")</f>
        <v/>
      </c>
      <c r="V10" t="inlineStr"/>
      <c r="W10" t="inlineStr"/>
      <c r="X10">
        <f>HYPERLINK("https://www.electrive.com/2021/08/17/akasol-starts-up-battery-production-at-new-plant-in-darmstadt/", "source")</f>
        <v/>
      </c>
      <c r="Y10" t="inlineStr">
        <is>
          <t>d15de332-36dd-5517-a8b8-da62d3ce06a5</t>
        </is>
      </c>
    </row>
    <row r="11">
      <c r="A11" t="inlineStr">
        <is>
          <t>akasol</t>
        </is>
      </c>
      <c r="B11" t="inlineStr">
        <is>
          <t>DE</t>
        </is>
      </c>
      <c r="C11" t="inlineStr">
        <is>
          <t>Darmstadt, Wissenschaftsstadt</t>
        </is>
      </c>
      <c r="D11" t="inlineStr">
        <is>
          <t>battery</t>
        </is>
      </c>
      <c r="E11" t="inlineStr">
        <is>
          <t>module_pack</t>
        </is>
      </c>
      <c r="F11" t="n">
        <v>2</v>
      </c>
      <c r="G11" t="inlineStr">
        <is>
          <t>announced</t>
        </is>
      </c>
      <c r="H11" t="n">
        <v>1.5</v>
      </c>
      <c r="I11" t="n">
        <v>2.5</v>
      </c>
      <c r="J11" t="n">
        <v>60000000</v>
      </c>
      <c r="K11" t="n">
        <v>100000000</v>
      </c>
      <c r="L11" t="b">
        <v>1</v>
      </c>
      <c r="M11" t="inlineStr">
        <is>
          <t>2017-05</t>
        </is>
      </c>
      <c r="N11" t="inlineStr"/>
      <c r="O11" t="inlineStr"/>
      <c r="P11" t="b">
        <v>0</v>
      </c>
      <c r="Q11" t="b">
        <v>0</v>
      </c>
      <c r="R11" t="b">
        <v>0</v>
      </c>
      <c r="S11">
        <f>HYPERLINK("https://www.electrive.com/2021/08/17/akasol-starts-up-battery-production-at-new-plant-in-darmstadt/", "source")</f>
        <v/>
      </c>
      <c r="T11">
        <f>HYPERLINK("https://www.electrive.com/2021/08/17/akasol-starts-up-battery-production-at-new-plant-in-darmstadt/", "source")</f>
        <v/>
      </c>
      <c r="U11">
        <f>HYPERLINK("https://www.electrive.com/2021/08/17/akasol-starts-up-battery-production-at-new-plant-in-darmstadt/", "source")</f>
        <v/>
      </c>
      <c r="V11">
        <f>HYPERLINK("https://www.electrive.com/2017/05/17/toyota-akasol-marine-rack-system-daymak/", "source")</f>
        <v/>
      </c>
      <c r="W11" t="inlineStr"/>
      <c r="X11" t="inlineStr"/>
      <c r="Y11" t="inlineStr">
        <is>
          <t>d15de332-36dd-5517-a8b8-da62d3ce06a5</t>
        </is>
      </c>
    </row>
    <row r="12">
      <c r="A12" t="inlineStr">
        <is>
          <t>akasol</t>
        </is>
      </c>
      <c r="B12" t="inlineStr">
        <is>
          <t>DE</t>
        </is>
      </c>
      <c r="C12" t="inlineStr">
        <is>
          <t>Langen (Hessen)</t>
        </is>
      </c>
      <c r="D12" t="inlineStr">
        <is>
          <t>battery</t>
        </is>
      </c>
      <c r="E12" t="inlineStr">
        <is>
          <t>module_pack</t>
        </is>
      </c>
      <c r="F12" t="n">
        <v>1</v>
      </c>
      <c r="G12" t="inlineStr">
        <is>
          <t>operational</t>
        </is>
      </c>
      <c r="H12" t="n">
        <v>0.3</v>
      </c>
      <c r="I12" t="n">
        <v>0.3</v>
      </c>
      <c r="J12" t="n">
        <v>12000000</v>
      </c>
      <c r="K12" t="n">
        <v>12000000</v>
      </c>
      <c r="L12" t="b">
        <v>1</v>
      </c>
      <c r="M12" t="inlineStr">
        <is>
          <t>2015-04</t>
        </is>
      </c>
      <c r="N12" t="inlineStr">
        <is>
          <t>2015-04</t>
        </is>
      </c>
      <c r="O12" t="inlineStr">
        <is>
          <t>2018-04</t>
        </is>
      </c>
      <c r="P12" t="b">
        <v>1</v>
      </c>
      <c r="Q12" t="b">
        <v>1</v>
      </c>
      <c r="R12" t="b">
        <v>0</v>
      </c>
      <c r="S12">
        <f>HYPERLINK("https://www.electrive.com/2018/07/16/akasol-making-better-batteries-for-ecitaro-by-daimler/", "source")</f>
        <v/>
      </c>
      <c r="T12">
        <f>HYPERLINK("https://www.electrive.com/2018/07/16/akasol-making-better-batteries-for-ecitaro-by-daimler/", "source")</f>
        <v/>
      </c>
      <c r="U12">
        <f>HYPERLINK("https://www.electrive.com/2018/07/16/akasol-making-better-batteries-for-ecitaro-by-daimler/", "source")</f>
        <v/>
      </c>
      <c r="V12" t="inlineStr"/>
      <c r="W12" t="inlineStr"/>
      <c r="X12">
        <f>HYPERLINK("https://www.electrive.com/2018/04/09/akasol-to-deliver-batteries-for-daimlers-citaro-electric-bus/", "source")</f>
        <v/>
      </c>
      <c r="Y12" t="inlineStr">
        <is>
          <t>52100f6e-c0ca-51c9-99d6-b0036fd75008</t>
        </is>
      </c>
    </row>
    <row r="13">
      <c r="A13" t="inlineStr">
        <is>
          <t>akasol</t>
        </is>
      </c>
      <c r="B13" t="inlineStr">
        <is>
          <t>DE</t>
        </is>
      </c>
      <c r="C13" t="inlineStr">
        <is>
          <t>Langen (Hessen)</t>
        </is>
      </c>
      <c r="D13" t="inlineStr">
        <is>
          <t>battery</t>
        </is>
      </c>
      <c r="E13" t="inlineStr">
        <is>
          <t>module_pack</t>
        </is>
      </c>
      <c r="F13" t="n">
        <v>2</v>
      </c>
      <c r="G13" t="inlineStr">
        <is>
          <t>under construction</t>
        </is>
      </c>
      <c r="H13" t="n">
        <v>0.3</v>
      </c>
      <c r="I13" t="n">
        <v>0.6</v>
      </c>
      <c r="J13" t="n">
        <v>12000000</v>
      </c>
      <c r="K13" t="n">
        <v>24000000</v>
      </c>
      <c r="L13" t="b">
        <v>1</v>
      </c>
      <c r="M13" t="inlineStr">
        <is>
          <t>2018-07</t>
        </is>
      </c>
      <c r="N13" t="inlineStr">
        <is>
          <t>2018-11</t>
        </is>
      </c>
      <c r="O13" t="inlineStr">
        <is>
          <t>2021-11</t>
        </is>
      </c>
      <c r="P13" t="b">
        <v>0</v>
      </c>
      <c r="Q13" t="b">
        <v>0</v>
      </c>
      <c r="R13" t="b">
        <v>1</v>
      </c>
      <c r="S13">
        <f>HYPERLINK("https://www.electrive.com/2018/11/01/battery-specialist-akasol-plans-new-us-factory/", "source")</f>
        <v/>
      </c>
      <c r="T13">
        <f>HYPERLINK("https://www.electrive.com/2018/11/01/battery-specialist-akasol-plans-new-us-factory/", "source")</f>
        <v/>
      </c>
      <c r="U13">
        <f>HYPERLINK("https://www.electrive.com/2018/11/01/battery-specialist-akasol-plans-new-us-factory/", "source")</f>
        <v/>
      </c>
      <c r="V13">
        <f>HYPERLINK("https://www.electrive.com/2018/07/16/akasol-making-better-batteries-for-ecitaro-by-daimler/", "source")</f>
        <v/>
      </c>
      <c r="W13">
        <f>HYPERLINK("https://www.electrive.com/2018/11/01/battery-specialist-akasol-plans-new-us-factory/", "source")</f>
        <v/>
      </c>
      <c r="X13" t="inlineStr"/>
      <c r="Y13" t="inlineStr">
        <is>
          <t>52100f6e-c0ca-51c9-99d6-b0036fd75008</t>
        </is>
      </c>
    </row>
    <row r="14">
      <c r="A14" t="inlineStr">
        <is>
          <t>altris</t>
        </is>
      </c>
      <c r="B14" t="inlineStr">
        <is>
          <t>SE</t>
        </is>
      </c>
      <c r="C14" t="inlineStr">
        <is>
          <t>Sandviken Municipality</t>
        </is>
      </c>
      <c r="D14" t="inlineStr">
        <is>
          <t>battery</t>
        </is>
      </c>
      <c r="E14" t="inlineStr">
        <is>
          <t>eam</t>
        </is>
      </c>
      <c r="F14" t="n">
        <v>1</v>
      </c>
      <c r="G14" t="inlineStr">
        <is>
          <t>operational</t>
        </is>
      </c>
      <c r="H14" t="n">
        <v>1</v>
      </c>
      <c r="I14" t="n">
        <v>1</v>
      </c>
      <c r="J14" t="inlineStr"/>
      <c r="K14" t="inlineStr"/>
      <c r="L14" t="b">
        <v>0</v>
      </c>
      <c r="M14" t="inlineStr">
        <is>
          <t>2022-05</t>
        </is>
      </c>
      <c r="N14" t="inlineStr">
        <is>
          <t>2022-05</t>
        </is>
      </c>
      <c r="O14" t="inlineStr">
        <is>
          <t>2023-11</t>
        </is>
      </c>
      <c r="P14" t="b">
        <v>0</v>
      </c>
      <c r="Q14" t="b">
        <v>1</v>
      </c>
      <c r="R14" t="b">
        <v>0</v>
      </c>
      <c r="S14">
        <f>HYPERLINK("https://www.electrive.com/2023/11/21/northvolt-presents-its-own-sodium-ion-battery-cell/", "source")</f>
        <v/>
      </c>
      <c r="T14">
        <f>HYPERLINK("https://www.electrive.com/2023/11/21/northvolt-presents-its-own-sodium-ion-battery-cell/", "source")</f>
        <v/>
      </c>
      <c r="U14" t="inlineStr"/>
      <c r="V14">
        <f>HYPERLINK("https://www.electrive.com/2022/05/10/sodium-ion-batteries-progress-in-sweden-and-the-usa/", "source")</f>
        <v/>
      </c>
      <c r="W14" t="inlineStr"/>
      <c r="X14">
        <f>HYPERLINK("https://www.electrive.com/2023/11/21/northvolt-presents-its-own-sodium-ion-battery-cell/", "source")</f>
        <v/>
      </c>
      <c r="Y14" t="inlineStr">
        <is>
          <t>118a8a9f-c102-5a75-9046-d28acb2c8d86</t>
        </is>
      </c>
    </row>
    <row r="15">
      <c r="A15" t="inlineStr">
        <is>
          <t>amg lithium</t>
        </is>
      </c>
      <c r="B15" t="inlineStr">
        <is>
          <t>DE</t>
        </is>
      </c>
      <c r="C15" t="inlineStr">
        <is>
          <t>Bitterfeld-Wolfen</t>
        </is>
      </c>
      <c r="D15" t="inlineStr">
        <is>
          <t>battery</t>
        </is>
      </c>
      <c r="E15" t="inlineStr">
        <is>
          <t>eam</t>
        </is>
      </c>
      <c r="F15" t="n">
        <v>1</v>
      </c>
      <c r="G15" t="inlineStr">
        <is>
          <t>under construction</t>
        </is>
      </c>
      <c r="H15" t="n">
        <v>20000</v>
      </c>
      <c r="I15" t="n">
        <v>20000</v>
      </c>
      <c r="J15" t="inlineStr"/>
      <c r="K15" t="inlineStr"/>
      <c r="L15" t="b">
        <v>0</v>
      </c>
      <c r="M15" t="inlineStr">
        <is>
          <t>2023-05</t>
        </is>
      </c>
      <c r="N15" t="inlineStr">
        <is>
          <t>2023-05</t>
        </is>
      </c>
      <c r="O15" t="inlineStr">
        <is>
          <t>2026-05</t>
        </is>
      </c>
      <c r="P15" t="b">
        <v>0</v>
      </c>
      <c r="Q15" t="b">
        <v>0</v>
      </c>
      <c r="R15" t="b">
        <v>1</v>
      </c>
      <c r="S15">
        <f>HYPERLINK("https://www.electrive.com/2023/05/24/amg-lithium-to-use-fortum-recycled-lithium/", "source")</f>
        <v/>
      </c>
      <c r="T15">
        <f>HYPERLINK("https://www.electrive.com/2023/05/24/amg-lithium-to-use-fortum-recycled-lithium/", "source")</f>
        <v/>
      </c>
      <c r="U15" t="inlineStr"/>
      <c r="V15">
        <f>HYPERLINK("https://www.electrive.com/2023/05/24/amg-lithium-to-use-fortum-recycled-lithium/", "source")</f>
        <v/>
      </c>
      <c r="W15">
        <f>HYPERLINK("https://www.electrive.com/2023/05/24/amg-lithium-to-use-fortum-recycled-lithium/", "source")</f>
        <v/>
      </c>
      <c r="X15" t="inlineStr"/>
      <c r="Y15" t="inlineStr">
        <is>
          <t>f174b933-3825-52d8-bce3-a6a9c3b63a9d</t>
        </is>
      </c>
    </row>
    <row r="16">
      <c r="A16" t="inlineStr">
        <is>
          <t>anodox energy systems</t>
        </is>
      </c>
      <c r="B16" t="inlineStr">
        <is>
          <t>LV</t>
        </is>
      </c>
      <c r="C16" t="inlineStr">
        <is>
          <t>Riga</t>
        </is>
      </c>
      <c r="D16" t="inlineStr">
        <is>
          <t>battery</t>
        </is>
      </c>
      <c r="E16" t="inlineStr">
        <is>
          <t>module_pack</t>
        </is>
      </c>
      <c r="F16" t="n">
        <v>1</v>
      </c>
      <c r="G16" t="inlineStr">
        <is>
          <t>announced</t>
        </is>
      </c>
      <c r="H16" t="inlineStr"/>
      <c r="I16" t="inlineStr"/>
      <c r="J16" t="n">
        <v>50000000</v>
      </c>
      <c r="K16" t="n">
        <v>50000000</v>
      </c>
      <c r="L16" t="b">
        <v>0</v>
      </c>
      <c r="M16" t="inlineStr">
        <is>
          <t>2022-03</t>
        </is>
      </c>
      <c r="N16" t="inlineStr"/>
      <c r="O16" t="inlineStr"/>
      <c r="P16" t="b">
        <v>0</v>
      </c>
      <c r="Q16" t="b">
        <v>0</v>
      </c>
      <c r="R16" t="b">
        <v>0</v>
      </c>
      <c r="S16">
        <f>HYPERLINK("https://www.electrive.com/2022/03/29/anodox-energy-to-build-two-battery-plants-in-latvia/", "source")</f>
        <v/>
      </c>
      <c r="T16" t="inlineStr"/>
      <c r="U16">
        <f>HYPERLINK("https://www.electrive.com/2022/03/29/anodox-energy-to-build-two-battery-plants-in-latvia/", "source")</f>
        <v/>
      </c>
      <c r="V16">
        <f>HYPERLINK("https://www.electrive.com/2022/03/29/anodox-energy-to-build-two-battery-plants-in-latvia/", "source")</f>
        <v/>
      </c>
      <c r="W16" t="inlineStr"/>
      <c r="X16" t="inlineStr"/>
      <c r="Y16" t="inlineStr">
        <is>
          <t>16a3e903-915f-5f09-9c89-7d89f15ded63</t>
        </is>
      </c>
    </row>
    <row r="17">
      <c r="A17" t="inlineStr">
        <is>
          <t>automotive cell company</t>
        </is>
      </c>
      <c r="B17" t="inlineStr">
        <is>
          <t>DE</t>
        </is>
      </c>
      <c r="C17" t="inlineStr">
        <is>
          <t>Kaiserslautern</t>
        </is>
      </c>
      <c r="D17" t="inlineStr">
        <is>
          <t>battery</t>
        </is>
      </c>
      <c r="E17" t="inlineStr">
        <is>
          <t>cell, module_pack</t>
        </is>
      </c>
      <c r="F17" t="n">
        <v>1</v>
      </c>
      <c r="G17" t="inlineStr">
        <is>
          <t>paused</t>
        </is>
      </c>
      <c r="H17" t="n">
        <v>40</v>
      </c>
      <c r="I17" t="n">
        <v>40</v>
      </c>
      <c r="J17" t="n">
        <v>4400000000</v>
      </c>
      <c r="K17" t="n">
        <v>4400000000</v>
      </c>
      <c r="L17" t="b">
        <v>0</v>
      </c>
      <c r="M17" t="inlineStr">
        <is>
          <t>2020-02</t>
        </is>
      </c>
      <c r="N17" t="inlineStr">
        <is>
          <t>2022-04</t>
        </is>
      </c>
      <c r="O17" t="inlineStr">
        <is>
          <t>2025-04</t>
        </is>
      </c>
      <c r="P17" t="b">
        <v>0</v>
      </c>
      <c r="Q17" t="b">
        <v>0</v>
      </c>
      <c r="R17" t="b">
        <v>1</v>
      </c>
      <c r="S17">
        <f>HYPERLINK("https://www.electrive.com/2024/08/23/italy-attempts-to-push-stellantis-to-commit-to-acc-cell-factory/", "source")</f>
        <v/>
      </c>
      <c r="T17">
        <f>HYPERLINK("https://www.electrive.com/2022/04/27/acc-places-major-cathode-order-with-umicore/", "source")</f>
        <v/>
      </c>
      <c r="U17">
        <f>HYPERLINK("https://www.electrive.com/2024/02/12/over-e4-billion-secured-for-european-battery-production/", "source")</f>
        <v/>
      </c>
      <c r="V17">
        <f>HYPERLINK("https://www.electrive.com/2020/02/08/opel-plant-to-make-24-gwh-battery-cells-per-year/", "source")</f>
        <v/>
      </c>
      <c r="W17">
        <f>HYPERLINK("https://www.electrive.com/2022/04/27/acc-places-major-cathode-order-with-umicore/", "source")</f>
        <v/>
      </c>
      <c r="X17" t="inlineStr"/>
      <c r="Y17" t="inlineStr">
        <is>
          <t>6cc8c7c1-ba88-5efe-b300-23db83319d01</t>
        </is>
      </c>
    </row>
    <row r="18">
      <c r="A18" t="inlineStr">
        <is>
          <t>automotive cell company</t>
        </is>
      </c>
      <c r="B18" t="inlineStr">
        <is>
          <t>DE</t>
        </is>
      </c>
      <c r="C18" t="inlineStr">
        <is>
          <t>Kaiserslautern</t>
        </is>
      </c>
      <c r="D18" t="inlineStr">
        <is>
          <t>battery</t>
        </is>
      </c>
      <c r="E18" t="inlineStr">
        <is>
          <t>cell, module_pack</t>
        </is>
      </c>
      <c r="F18" t="n">
        <v>2</v>
      </c>
      <c r="G18" t="inlineStr">
        <is>
          <t>paused</t>
        </is>
      </c>
      <c r="H18" t="n">
        <v>0</v>
      </c>
      <c r="I18" t="n">
        <v>40</v>
      </c>
      <c r="J18" t="n">
        <v>0</v>
      </c>
      <c r="K18" t="n">
        <v>4400000000</v>
      </c>
      <c r="L18" t="b">
        <v>1</v>
      </c>
      <c r="M18" t="inlineStr">
        <is>
          <t>2021-09</t>
        </is>
      </c>
      <c r="N18" t="inlineStr"/>
      <c r="O18" t="inlineStr"/>
      <c r="P18" t="b">
        <v>0</v>
      </c>
      <c r="Q18" t="b">
        <v>0</v>
      </c>
      <c r="R18" t="b">
        <v>0</v>
      </c>
      <c r="S18">
        <f>HYPERLINK("https://www.fdiintelligence.com/content/1fa48c90-cd6b-5a32-ad9d-18219d95a3ad?utm_source=chatgpt.com", "source")</f>
        <v/>
      </c>
      <c r="T18">
        <f>HYPERLINK("https://www.electrive.com/2024/09/19/italy-withdraws-funding-commitment-for-acc-cell-plant-in-termoli/", "source")</f>
        <v/>
      </c>
      <c r="U18">
        <f>HYPERLINK("https://www.electrive.com/2024/09/19/italy-withdraws-funding-commitment-for-acc-cell-plant-in-termoli/", "source")</f>
        <v/>
      </c>
      <c r="V18">
        <f>HYPERLINK("https://www.electrive.com/2021/09/24/mercedes-buys-stake-in-battery-joint-venture-acc/", "source")</f>
        <v/>
      </c>
      <c r="W18" t="inlineStr"/>
      <c r="X18" t="inlineStr"/>
      <c r="Y18" t="inlineStr">
        <is>
          <t>6cc8c7c1-ba88-5efe-b300-23db83319d01</t>
        </is>
      </c>
    </row>
    <row r="19">
      <c r="A19" t="inlineStr">
        <is>
          <t>automotive cell company</t>
        </is>
      </c>
      <c r="B19" t="inlineStr">
        <is>
          <t>FR</t>
        </is>
      </c>
      <c r="C19" t="inlineStr">
        <is>
          <t>Douvrin</t>
        </is>
      </c>
      <c r="D19" t="inlineStr">
        <is>
          <t>battery</t>
        </is>
      </c>
      <c r="E19" t="inlineStr">
        <is>
          <t>cell, module_pack</t>
        </is>
      </c>
      <c r="F19" t="n">
        <v>1</v>
      </c>
      <c r="G19" t="inlineStr">
        <is>
          <t>operational</t>
        </is>
      </c>
      <c r="H19" t="n">
        <v>13</v>
      </c>
      <c r="I19" t="n">
        <v>13</v>
      </c>
      <c r="J19" t="n">
        <v>850000000</v>
      </c>
      <c r="K19" t="n">
        <v>850000000</v>
      </c>
      <c r="L19" t="b">
        <v>0</v>
      </c>
      <c r="M19" t="inlineStr">
        <is>
          <t>2021-04</t>
        </is>
      </c>
      <c r="N19" t="inlineStr">
        <is>
          <t>2022-04</t>
        </is>
      </c>
      <c r="O19" t="inlineStr">
        <is>
          <t>2023-05</t>
        </is>
      </c>
      <c r="P19" t="b">
        <v>0</v>
      </c>
      <c r="Q19" t="b">
        <v>0</v>
      </c>
      <c r="R19" t="b">
        <v>0</v>
      </c>
      <c r="S19">
        <f>HYPERLINK("https://battery-news.de/en/2024/02/21/acc-raises-billions-for-gigafactories/", "source")</f>
        <v/>
      </c>
      <c r="T19">
        <f>HYPERLINK("https://battery-news.de/en/2024/02/21/acc-raises-billions-for-gigafactories/", "source")</f>
        <v/>
      </c>
      <c r="U19">
        <f>HYPERLINK("https://www.electrive.com/2023/05/30/acc-opens-battery-factory-in-france/", "source")</f>
        <v/>
      </c>
      <c r="V19">
        <f>HYPERLINK("https://www.electrive.com/2021/04/18/stellantis-reveals-key-details-of-electrification-plans/", "source")</f>
        <v/>
      </c>
      <c r="W19">
        <f>HYPERLINK("https://www.electrive.com/2022/04/27/acc-places-major-cathode-order-with-umicore/", "source")</f>
        <v/>
      </c>
      <c r="X19">
        <f>HYPERLINK("https://www.electrive.com/2023/05/30/acc-opens-battery-factory-in-france/", "source")</f>
        <v/>
      </c>
      <c r="Y19" t="inlineStr">
        <is>
          <t>08f06c4e-5fa3-5c28-a6d0-4eddb1ebdf94</t>
        </is>
      </c>
    </row>
    <row r="20">
      <c r="A20" t="inlineStr">
        <is>
          <t>automotive cell company</t>
        </is>
      </c>
      <c r="B20" t="inlineStr">
        <is>
          <t>FR</t>
        </is>
      </c>
      <c r="C20" t="inlineStr">
        <is>
          <t>Douvrin</t>
        </is>
      </c>
      <c r="D20" t="inlineStr">
        <is>
          <t>battery</t>
        </is>
      </c>
      <c r="E20" t="inlineStr">
        <is>
          <t>cell, module_pack</t>
        </is>
      </c>
      <c r="F20" t="n">
        <v>2</v>
      </c>
      <c r="G20" t="inlineStr">
        <is>
          <t>announced</t>
        </is>
      </c>
      <c r="H20" t="n">
        <v>13</v>
      </c>
      <c r="I20" t="n">
        <v>26</v>
      </c>
      <c r="J20" t="n">
        <v>850000000</v>
      </c>
      <c r="K20" t="n">
        <v>1700000000</v>
      </c>
      <c r="L20" t="b">
        <v>1</v>
      </c>
      <c r="M20" t="inlineStr">
        <is>
          <t>2021-09</t>
        </is>
      </c>
      <c r="N20" t="inlineStr"/>
      <c r="O20" t="inlineStr"/>
      <c r="P20" t="b">
        <v>0</v>
      </c>
      <c r="Q20" t="b">
        <v>0</v>
      </c>
      <c r="R20" t="b">
        <v>0</v>
      </c>
      <c r="S20">
        <f>HYPERLINK("https://electrification-solutions.com/automotive-cells-company-acc-halts-european-power-battery-plant-projects-to-consider-cost-effective-lfp-batteries/", "source")</f>
        <v/>
      </c>
      <c r="T20">
        <f>HYPERLINK("https://electrification-solutions.com/automotive-cells-company-acc-halts-european-power-battery-plant-projects-to-consider-cost-effective-lfp-batteries/", "source")</f>
        <v/>
      </c>
      <c r="U20">
        <f>HYPERLINK("https://www.electrive.com/2023/05/30/acc-opens-battery-factory-in-france/", "source")</f>
        <v/>
      </c>
      <c r="V20">
        <f>HYPERLINK("https://www.electrive.com/2021/09/24/mercedes-buys-stake-in-battery-joint-venture-acc/", "source")</f>
        <v/>
      </c>
      <c r="W20" t="inlineStr"/>
      <c r="X20" t="inlineStr"/>
      <c r="Y20" t="inlineStr">
        <is>
          <t>08f06c4e-5fa3-5c28-a6d0-4eddb1ebdf94</t>
        </is>
      </c>
    </row>
    <row r="21">
      <c r="A21" t="inlineStr">
        <is>
          <t>automotive cell company</t>
        </is>
      </c>
      <c r="B21" t="inlineStr">
        <is>
          <t>IT</t>
        </is>
      </c>
      <c r="C21" t="inlineStr">
        <is>
          <t>Termoli</t>
        </is>
      </c>
      <c r="D21" t="inlineStr">
        <is>
          <t>battery</t>
        </is>
      </c>
      <c r="E21" t="inlineStr">
        <is>
          <t>cell, module_pack</t>
        </is>
      </c>
      <c r="F21" t="n">
        <v>1</v>
      </c>
      <c r="G21" t="inlineStr">
        <is>
          <t>paused</t>
        </is>
      </c>
      <c r="H21" t="n">
        <v>13.4</v>
      </c>
      <c r="I21" t="n">
        <v>13.4</v>
      </c>
      <c r="J21" t="n">
        <v>1072000000</v>
      </c>
      <c r="K21" t="n">
        <v>1072000000</v>
      </c>
      <c r="L21" t="b">
        <v>1</v>
      </c>
      <c r="M21" t="inlineStr">
        <is>
          <t>2022-09</t>
        </is>
      </c>
      <c r="N21" t="inlineStr"/>
      <c r="O21" t="inlineStr"/>
      <c r="P21" t="b">
        <v>0</v>
      </c>
      <c r="Q21" t="b">
        <v>0</v>
      </c>
      <c r="R21" t="b">
        <v>0</v>
      </c>
      <c r="S21">
        <f>HYPERLINK("https://www.fdiintelligence.com/content/1fa48c90-cd6b-5a32-ad9d-18219d95a3ad?utm_source=chatgpt.com", "source")</f>
        <v/>
      </c>
      <c r="T21">
        <f>HYPERLINK("https://battery-news.de/en/2024/02/21/acc-raises-billions-for-gigafactories/", "source")</f>
        <v/>
      </c>
      <c r="U21">
        <f>HYPERLINK("https://battery-news.de/en/2024/02/21/acc-raises-billions-for-gigafactories/", "source")</f>
        <v/>
      </c>
      <c r="V21">
        <f>HYPERLINK("https://www.electrive.com/2022/09/21/stellantis-to-upgrade-mirafiori-plant-for-drive-production/", "source")</f>
        <v/>
      </c>
      <c r="W21" t="inlineStr"/>
      <c r="X21" t="inlineStr"/>
      <c r="Y21" t="inlineStr">
        <is>
          <t>d11a7e12-1182-5751-8a67-ec368cb717bb</t>
        </is>
      </c>
    </row>
    <row r="22">
      <c r="A22" t="inlineStr">
        <is>
          <t>automotive cell company</t>
        </is>
      </c>
      <c r="B22" t="inlineStr">
        <is>
          <t>IT</t>
        </is>
      </c>
      <c r="C22" t="inlineStr">
        <is>
          <t>Termoli</t>
        </is>
      </c>
      <c r="D22" t="inlineStr">
        <is>
          <t>battery</t>
        </is>
      </c>
      <c r="E22" t="inlineStr">
        <is>
          <t>cell, module_pack</t>
        </is>
      </c>
      <c r="F22" t="n">
        <v>2</v>
      </c>
      <c r="G22" t="inlineStr">
        <is>
          <t>paused</t>
        </is>
      </c>
      <c r="H22" t="n">
        <v>26.6</v>
      </c>
      <c r="I22" t="n">
        <v>40</v>
      </c>
      <c r="J22" t="n">
        <v>928000000</v>
      </c>
      <c r="K22" t="n">
        <v>2000000000</v>
      </c>
      <c r="L22" t="b">
        <v>0</v>
      </c>
      <c r="M22" t="inlineStr">
        <is>
          <t>2024-02</t>
        </is>
      </c>
      <c r="N22" t="inlineStr"/>
      <c r="O22" t="inlineStr"/>
      <c r="P22" t="b">
        <v>0</v>
      </c>
      <c r="Q22" t="b">
        <v>0</v>
      </c>
      <c r="R22" t="b">
        <v>0</v>
      </c>
      <c r="S22">
        <f>HYPERLINK("https://www.electrive.com/2024/08/23/italy-attempts-to-push-stellantis-to-commit-to-acc-cell-factory/", "source")</f>
        <v/>
      </c>
      <c r="T22">
        <f>HYPERLINK("https://www.electrive.com/2024/09/19/italy-withdraws-funding-commitment-for-acc-cell-plant-in-termoli/", "source")</f>
        <v/>
      </c>
      <c r="U22">
        <f>HYPERLINK("https://www.electrive.com/2024/08/23/italy-attempts-to-push-stellantis-to-commit-to-acc-cell-factory/", "source")</f>
        <v/>
      </c>
      <c r="V22">
        <f>HYPERLINK("https://www.electrive.com/2024/02/12/over-e4-billion-secured-for-european-battery-production/", "source")</f>
        <v/>
      </c>
      <c r="W22" t="inlineStr"/>
      <c r="X22" t="inlineStr"/>
      <c r="Y22" t="inlineStr">
        <is>
          <t>d11a7e12-1182-5751-8a67-ec368cb717bb</t>
        </is>
      </c>
    </row>
    <row r="23">
      <c r="A23" t="inlineStr">
        <is>
          <t>avesta battery and energy engineering</t>
        </is>
      </c>
      <c r="B23" t="inlineStr">
        <is>
          <t>RO</t>
        </is>
      </c>
      <c r="C23" t="inlineStr">
        <is>
          <t>Galați County</t>
        </is>
      </c>
      <c r="D23" t="inlineStr">
        <is>
          <t>battery</t>
        </is>
      </c>
      <c r="E23" t="inlineStr">
        <is>
          <t>cell, recycling</t>
        </is>
      </c>
      <c r="F23" t="n">
        <v>1</v>
      </c>
      <c r="G23" t="inlineStr">
        <is>
          <t>cancelled</t>
        </is>
      </c>
      <c r="H23" t="n">
        <v>22</v>
      </c>
      <c r="I23" t="n">
        <v>22</v>
      </c>
      <c r="J23" t="n">
        <v>1400000000</v>
      </c>
      <c r="K23" t="n">
        <v>1400000000</v>
      </c>
      <c r="L23" t="b">
        <v>0</v>
      </c>
      <c r="M23" t="inlineStr">
        <is>
          <t>2023-04</t>
        </is>
      </c>
      <c r="N23" t="inlineStr"/>
      <c r="O23" t="inlineStr"/>
      <c r="P23" t="b">
        <v>0</v>
      </c>
      <c r="Q23" t="b">
        <v>0</v>
      </c>
      <c r="R23" t="b">
        <v>0</v>
      </c>
      <c r="S23">
        <f>HYPERLINK("https://www.romania-insider.com/abee-abandons-plans-factory-romania-sept-2024", "source")</f>
        <v/>
      </c>
      <c r="T23">
        <f>HYPERLINK("https://www.electrive.com/2023/06/28/abee-to-build-battery-factory-for-evs-in-romania/", "source")</f>
        <v/>
      </c>
      <c r="U23">
        <f>HYPERLINK("https://www.romania-insider.com/abee-abandons-plans-factory-romania-sept-2024", "source")</f>
        <v/>
      </c>
      <c r="V23">
        <f>HYPERLINK("https://www.just-auto.com/news/avesta-plans-romania-ev-battery-plant/", "source")</f>
        <v/>
      </c>
      <c r="W23" t="inlineStr"/>
      <c r="X23" t="inlineStr"/>
      <c r="Y23" t="inlineStr">
        <is>
          <t>f578485a-56ef-58f6-9337-0fb42a2e6243</t>
        </is>
      </c>
    </row>
    <row r="24">
      <c r="A24" t="inlineStr">
        <is>
          <t>basf</t>
        </is>
      </c>
      <c r="B24" t="inlineStr">
        <is>
          <t>DE</t>
        </is>
      </c>
      <c r="C24" t="inlineStr">
        <is>
          <t>Schwarzheide</t>
        </is>
      </c>
      <c r="D24" t="inlineStr">
        <is>
          <t>battery</t>
        </is>
      </c>
      <c r="E24" t="inlineStr">
        <is>
          <t>eam</t>
        </is>
      </c>
      <c r="F24" t="n">
        <v>1</v>
      </c>
      <c r="G24" t="inlineStr">
        <is>
          <t>operational</t>
        </is>
      </c>
      <c r="H24" t="n">
        <v>20</v>
      </c>
      <c r="I24" t="n">
        <v>20</v>
      </c>
      <c r="J24" t="n">
        <v>175000000</v>
      </c>
      <c r="K24" t="n">
        <v>175000000</v>
      </c>
      <c r="L24" t="b">
        <v>0</v>
      </c>
      <c r="M24" t="inlineStr">
        <is>
          <t>2019-12</t>
        </is>
      </c>
      <c r="N24" t="inlineStr">
        <is>
          <t>2020-06</t>
        </is>
      </c>
      <c r="O24" t="inlineStr">
        <is>
          <t>2023-06</t>
        </is>
      </c>
      <c r="P24" t="b">
        <v>0</v>
      </c>
      <c r="Q24" t="b">
        <v>0</v>
      </c>
      <c r="R24" t="b">
        <v>0</v>
      </c>
      <c r="S24">
        <f>HYPERLINK("https://www.electrive.com/2023/12/08/basf-converts-battery-materials-business-into-independent-unit/", "source")</f>
        <v/>
      </c>
      <c r="T24">
        <f>HYPERLINK("https://www.electrive.com/2023/12/08/basf-converts-battery-materials-business-into-independent-unit/", "source")</f>
        <v/>
      </c>
      <c r="U24">
        <f>HYPERLINK("https://www.electrive.com/2023/06/29/basf-inaugurates-first-cathode-materials-factory-in-germany/", "source")</f>
        <v/>
      </c>
      <c r="V24">
        <f>HYPERLINK("https://www.electrive.com/2019/12/10/opel-is-aiming-for-32-gwh-battery-cell-production-in-kaiserslautern/", "source")</f>
        <v/>
      </c>
      <c r="W24">
        <f>HYPERLINK("https://www.electrive.com/2020/06/15/basf-confirms-cathode-production-plans/", "source")</f>
        <v/>
      </c>
      <c r="X24">
        <f>HYPERLINK("https://www.electrive.com/2023/06/29/basf-inaugurates-first-cathode-materials-factory-in-germany/", "source")</f>
        <v/>
      </c>
      <c r="Y24" t="inlineStr">
        <is>
          <t>69321c06-d5a8-53a4-8734-50e794e334f0</t>
        </is>
      </c>
    </row>
    <row r="25">
      <c r="A25" t="inlineStr">
        <is>
          <t>basf</t>
        </is>
      </c>
      <c r="B25" t="inlineStr">
        <is>
          <t>FI</t>
        </is>
      </c>
      <c r="C25" t="inlineStr">
        <is>
          <t>Harjavalta</t>
        </is>
      </c>
      <c r="D25" t="inlineStr">
        <is>
          <t>battery</t>
        </is>
      </c>
      <c r="E25" t="inlineStr">
        <is>
          <t>eam</t>
        </is>
      </c>
      <c r="F25" t="n">
        <v>1</v>
      </c>
      <c r="G25" t="inlineStr">
        <is>
          <t>under construction</t>
        </is>
      </c>
      <c r="H25" t="n">
        <v>20</v>
      </c>
      <c r="I25" t="n">
        <v>20</v>
      </c>
      <c r="J25" t="n">
        <v>400000000</v>
      </c>
      <c r="K25" t="n">
        <v>400000000</v>
      </c>
      <c r="L25" t="b">
        <v>0</v>
      </c>
      <c r="M25" t="inlineStr">
        <is>
          <t>2018-10</t>
        </is>
      </c>
      <c r="N25" t="inlineStr">
        <is>
          <t>2020-03</t>
        </is>
      </c>
      <c r="O25" t="inlineStr">
        <is>
          <t>2023-03</t>
        </is>
      </c>
      <c r="P25" t="b">
        <v>0</v>
      </c>
      <c r="Q25" t="b">
        <v>0</v>
      </c>
      <c r="R25" t="b">
        <v>1</v>
      </c>
      <c r="S25">
        <f>HYPERLINK("https://www.electrive.com/2020/06/15/basf-confirms-cathode-production-plans/", "source")</f>
        <v/>
      </c>
      <c r="T25">
        <f>HYPERLINK("https://www.electrive.com/2020/06/15/basf-confirms-cathode-production-plans/", "source")</f>
        <v/>
      </c>
      <c r="U25">
        <f>HYPERLINK("https://www.electrive.com/2020/03/07/battery-recycling-cluster-to-open-in-harjavalta/", "source")</f>
        <v/>
      </c>
      <c r="V25">
        <f>HYPERLINK("https://www.electrive.com/2018/10/22/basf-builds-battery-material-factory-in-finland/", "source")</f>
        <v/>
      </c>
      <c r="W25">
        <f>HYPERLINK("https://www.electrive.com/2020/03/07/battery-recycling-cluster-to-open-in-harjavalta/", "source")</f>
        <v/>
      </c>
      <c r="X25" t="inlineStr"/>
      <c r="Y25" t="inlineStr">
        <is>
          <t>d727a33a-8b51-5834-bd06-51b823459d7d</t>
        </is>
      </c>
    </row>
    <row r="26">
      <c r="A26" t="inlineStr">
        <is>
          <t>basquevolt</t>
        </is>
      </c>
      <c r="B26" t="inlineStr">
        <is>
          <t>ES</t>
        </is>
      </c>
      <c r="C26" t="inlineStr">
        <is>
          <t>Vitoria-Gasteiz</t>
        </is>
      </c>
      <c r="D26" t="inlineStr">
        <is>
          <t>battery</t>
        </is>
      </c>
      <c r="E26" t="inlineStr">
        <is>
          <t>cell</t>
        </is>
      </c>
      <c r="F26" t="n">
        <v>1</v>
      </c>
      <c r="G26" t="inlineStr">
        <is>
          <t>announced</t>
        </is>
      </c>
      <c r="H26" t="n">
        <v>1</v>
      </c>
      <c r="I26" t="n">
        <v>1</v>
      </c>
      <c r="J26" t="n">
        <v>80000000</v>
      </c>
      <c r="K26" t="n">
        <v>80000000</v>
      </c>
      <c r="L26" t="b">
        <v>1</v>
      </c>
      <c r="M26" t="inlineStr">
        <is>
          <t>2023-06</t>
        </is>
      </c>
      <c r="N26" t="inlineStr"/>
      <c r="O26" t="inlineStr"/>
      <c r="P26" t="b">
        <v>0</v>
      </c>
      <c r="Q26" t="b">
        <v>0</v>
      </c>
      <c r="R26" t="b">
        <v>0</v>
      </c>
      <c r="S26">
        <f>HYPERLINK("https://www.electrive.com/2023/06/20/basquevolt-to-produce-first-batteries-before-2024/", "source")</f>
        <v/>
      </c>
      <c r="T26">
        <f>HYPERLINK("https://www.electrive.com/2023/06/20/basquevolt-to-produce-first-batteries-before-2024/", "source")</f>
        <v/>
      </c>
      <c r="U26">
        <f>HYPERLINK("https://www.electrive.com/2023/06/20/basquevolt-to-produce-first-batteries-before-2024/", "source")</f>
        <v/>
      </c>
      <c r="V26">
        <f>HYPERLINK("https://www.electrive.com/2023/06/20/basquevolt-to-produce-first-batteries-before-2024/", "source")</f>
        <v/>
      </c>
      <c r="W26" t="inlineStr"/>
      <c r="X26" t="inlineStr"/>
      <c r="Y26" t="inlineStr">
        <is>
          <t>a441ffa2-414e-5b6b-99f8-ae98d1f9bcc8</t>
        </is>
      </c>
    </row>
    <row r="27">
      <c r="A27" t="inlineStr">
        <is>
          <t>baywa re</t>
        </is>
      </c>
      <c r="B27" t="inlineStr">
        <is>
          <t>GB</t>
        </is>
      </c>
      <c r="C27" t="inlineStr">
        <is>
          <t>Derbyshire</t>
        </is>
      </c>
      <c r="D27" t="inlineStr">
        <is>
          <t>battery</t>
        </is>
      </c>
      <c r="E27" t="inlineStr">
        <is>
          <t>module_pack</t>
        </is>
      </c>
      <c r="F27" t="n">
        <v>1</v>
      </c>
      <c r="G27" t="inlineStr">
        <is>
          <t>announced</t>
        </is>
      </c>
      <c r="H27" t="n">
        <v>0.0375</v>
      </c>
      <c r="I27" t="n">
        <v>0.0375</v>
      </c>
      <c r="J27" t="n">
        <v>1500000</v>
      </c>
      <c r="K27" t="n">
        <v>1500000</v>
      </c>
      <c r="L27" t="b">
        <v>1</v>
      </c>
      <c r="M27" t="inlineStr">
        <is>
          <t>2025-06</t>
        </is>
      </c>
      <c r="N27" t="inlineStr"/>
      <c r="O27" t="inlineStr"/>
      <c r="P27" t="b">
        <v>0</v>
      </c>
      <c r="Q27" t="b">
        <v>0</v>
      </c>
      <c r="R27" t="b">
        <v>0</v>
      </c>
      <c r="S27">
        <f>HYPERLINK("https://www.world-energy.org/article/52626.html", "source")</f>
        <v/>
      </c>
      <c r="T27">
        <f>HYPERLINK("https://www.world-energy.org/article/52626.html", "source")</f>
        <v/>
      </c>
      <c r="U27">
        <f>HYPERLINK("https://www.world-energy.org/article/52626.html", "source")</f>
        <v/>
      </c>
      <c r="V27">
        <f>HYPERLINK("https://www.world-energy.org/article/52626.html", "source")</f>
        <v/>
      </c>
      <c r="W27" t="inlineStr"/>
      <c r="X27" t="inlineStr"/>
      <c r="Y27" t="inlineStr">
        <is>
          <t>595dc48e-f9c1-59d5-8f1a-483c24da6014</t>
        </is>
      </c>
    </row>
    <row r="28">
      <c r="A28" t="inlineStr">
        <is>
          <t>blackstone technology</t>
        </is>
      </c>
      <c r="B28" t="inlineStr">
        <is>
          <t>DE</t>
        </is>
      </c>
      <c r="C28" t="inlineStr">
        <is>
          <t>Döbeln</t>
        </is>
      </c>
      <c r="D28" t="inlineStr">
        <is>
          <t>battery</t>
        </is>
      </c>
      <c r="E28" t="inlineStr">
        <is>
          <t>cell</t>
        </is>
      </c>
      <c r="F28" t="n">
        <v>1</v>
      </c>
      <c r="G28" t="inlineStr">
        <is>
          <t>cancelled</t>
        </is>
      </c>
      <c r="H28" t="n">
        <v>0.5</v>
      </c>
      <c r="I28" t="n">
        <v>0.5</v>
      </c>
      <c r="J28" t="n">
        <v>40000000</v>
      </c>
      <c r="K28" t="n">
        <v>40000000</v>
      </c>
      <c r="L28" t="b">
        <v>0</v>
      </c>
      <c r="M28" t="inlineStr">
        <is>
          <t>2019-01</t>
        </is>
      </c>
      <c r="N28" t="inlineStr">
        <is>
          <t>2021-09</t>
        </is>
      </c>
      <c r="O28" t="inlineStr">
        <is>
          <t>2021-12</t>
        </is>
      </c>
      <c r="P28" t="b">
        <v>0</v>
      </c>
      <c r="Q28" t="b">
        <v>0</v>
      </c>
      <c r="R28" t="b">
        <v>0</v>
      </c>
      <c r="S28">
        <f>HYPERLINK("https://www.electrive.com/2024/01/15/blackstone-technology-will-be-dismantled/", "source")</f>
        <v/>
      </c>
      <c r="T28">
        <f>HYPERLINK("https://www.electrive.com/2024/01/15/blackstone-technology-will-be-dismantled/", "source")</f>
        <v/>
      </c>
      <c r="U28">
        <f>HYPERLINK("https://www.electrive.com/2021/09/24/blackstone-to-open-battery-lab-in-germany/", "source")</f>
        <v/>
      </c>
      <c r="V28">
        <f>HYPERLINK("https://www.electrive.com/2019/01/16/blackstone-invest-200-million-euros-in-battery-production/", "source")</f>
        <v/>
      </c>
      <c r="W28">
        <f>HYPERLINK("https://www.electrive.com/2021/09/24/blackstone-to-open-battery-lab-in-germany/", "source")</f>
        <v/>
      </c>
      <c r="X28">
        <f>HYPERLINK("https://www.electrive.com/2021/12/07/blackstone-begins-series-production-of-3d-printed-battery-cells/", "source")</f>
        <v/>
      </c>
      <c r="Y28" t="inlineStr">
        <is>
          <t>6011fe9a-168b-51bf-b5fe-9da2eb039a7d</t>
        </is>
      </c>
    </row>
    <row r="29">
      <c r="A29" t="inlineStr">
        <is>
          <t>bmw</t>
        </is>
      </c>
      <c r="B29" t="inlineStr">
        <is>
          <t>DE</t>
        </is>
      </c>
      <c r="C29" t="inlineStr">
        <is>
          <t>Dingolfing</t>
        </is>
      </c>
      <c r="D29" t="inlineStr">
        <is>
          <t>battery</t>
        </is>
      </c>
      <c r="E29" t="inlineStr">
        <is>
          <t>module_pack</t>
        </is>
      </c>
      <c r="F29" t="n">
        <v>1</v>
      </c>
      <c r="G29" t="inlineStr">
        <is>
          <t>under construction</t>
        </is>
      </c>
      <c r="H29" t="inlineStr"/>
      <c r="I29" t="inlineStr"/>
      <c r="J29" t="n">
        <v>500000000</v>
      </c>
      <c r="K29" t="n">
        <v>500000000</v>
      </c>
      <c r="L29" t="b">
        <v>0</v>
      </c>
      <c r="M29" t="inlineStr">
        <is>
          <t>2018-10</t>
        </is>
      </c>
      <c r="N29" t="inlineStr">
        <is>
          <t>2018-10</t>
        </is>
      </c>
      <c r="O29" t="inlineStr">
        <is>
          <t>2021-10</t>
        </is>
      </c>
      <c r="P29" t="b">
        <v>0</v>
      </c>
      <c r="Q29" t="b">
        <v>0</v>
      </c>
      <c r="R29" t="b">
        <v>1</v>
      </c>
      <c r="S29">
        <f>HYPERLINK("https://www.press.bmwgroup.com/global/article/detail/T0310309EN/bmw-group-steps-up-electromobility%3A-e-drives-for-half-a-million-electrified-vehicles?language=en&amp;utm_source=chatgpt.com", "source")</f>
        <v/>
      </c>
      <c r="T29" t="inlineStr"/>
      <c r="U29">
        <f>HYPERLINK("https://www.press.bmwgroup.com/global/article/detail/T0310309EN/bmw-group-steps-up-electromobility%3A-e-drives-for-half-a-million-electrified-vehicles?language=en&amp;utm_source=chatgpt.com", "source")</f>
        <v/>
      </c>
      <c r="V29">
        <f>HYPERLINK("https://www.electrive.com/2018/10/28/bmw-gears-up-dingolfing-factory-for-ev-manufacturing/", "source")</f>
        <v/>
      </c>
      <c r="W29">
        <f>HYPERLINK("https://www.electrive.com/2018/10/28/bmw-gears-up-dingolfing-factory-for-ev-manufacturing/", "source")</f>
        <v/>
      </c>
      <c r="X29" t="inlineStr"/>
      <c r="Y29" t="inlineStr">
        <is>
          <t>f1227c53-ff62-5b8e-a0d1-ec59d3ab757f</t>
        </is>
      </c>
    </row>
    <row r="30">
      <c r="A30" t="inlineStr">
        <is>
          <t>bmw</t>
        </is>
      </c>
      <c r="B30" t="inlineStr">
        <is>
          <t>DE</t>
        </is>
      </c>
      <c r="C30" t="inlineStr">
        <is>
          <t>Leipzig</t>
        </is>
      </c>
      <c r="D30" t="inlineStr">
        <is>
          <t>battery</t>
        </is>
      </c>
      <c r="E30" t="inlineStr">
        <is>
          <t>cell, module_pack</t>
        </is>
      </c>
      <c r="F30" t="n">
        <v>1</v>
      </c>
      <c r="G30" t="inlineStr">
        <is>
          <t>operational</t>
        </is>
      </c>
      <c r="H30" t="inlineStr"/>
      <c r="I30" t="inlineStr"/>
      <c r="J30" t="n">
        <v>70000000</v>
      </c>
      <c r="K30" t="n">
        <v>70000000</v>
      </c>
      <c r="L30" t="b">
        <v>0</v>
      </c>
      <c r="M30" t="inlineStr"/>
      <c r="N30" t="inlineStr"/>
      <c r="O30" t="inlineStr"/>
      <c r="P30" t="b">
        <v>0</v>
      </c>
      <c r="Q30" t="b">
        <v>0</v>
      </c>
      <c r="R30" t="b">
        <v>0</v>
      </c>
      <c r="S30">
        <f>HYPERLINK("https://www.electrive.com/2022/08/01/bmw-opens-second-battery-module-production-line-in-leipzig/", "source")</f>
        <v/>
      </c>
      <c r="T30" t="inlineStr"/>
      <c r="U30">
        <f>HYPERLINK("https://www.electrive.com/2022/08/01/bmw-opens-second-battery-module-production-line-in-leipzig/", "source")</f>
        <v/>
      </c>
      <c r="V30" t="inlineStr"/>
      <c r="W30" t="inlineStr"/>
      <c r="X30" t="inlineStr"/>
      <c r="Y30" t="inlineStr">
        <is>
          <t>57ccf01c-4d59-524e-9b73-49636db37d55</t>
        </is>
      </c>
    </row>
    <row r="31">
      <c r="A31" t="inlineStr">
        <is>
          <t>bmw</t>
        </is>
      </c>
      <c r="B31" t="inlineStr">
        <is>
          <t>DE</t>
        </is>
      </c>
      <c r="C31" t="inlineStr">
        <is>
          <t>Leipzig</t>
        </is>
      </c>
      <c r="D31" t="inlineStr">
        <is>
          <t>battery</t>
        </is>
      </c>
      <c r="E31" t="inlineStr">
        <is>
          <t>cell, module_pack</t>
        </is>
      </c>
      <c r="F31" t="n">
        <v>2</v>
      </c>
      <c r="G31" t="inlineStr">
        <is>
          <t>announced</t>
        </is>
      </c>
      <c r="H31" t="inlineStr"/>
      <c r="I31" t="inlineStr"/>
      <c r="J31" t="n">
        <v>730000000</v>
      </c>
      <c r="K31" t="n">
        <v>800000000</v>
      </c>
      <c r="L31" t="b">
        <v>0</v>
      </c>
      <c r="M31" t="inlineStr">
        <is>
          <t>2020-09</t>
        </is>
      </c>
      <c r="N31" t="inlineStr"/>
      <c r="O31" t="inlineStr"/>
      <c r="P31" t="b">
        <v>0</v>
      </c>
      <c r="Q31" t="b">
        <v>0</v>
      </c>
      <c r="R31" t="b">
        <v>0</v>
      </c>
      <c r="S31">
        <f>HYPERLINK("https://www.just-auto.com/news/bmw-readies-leipzig-for-mini-countryman-ev/", "source")</f>
        <v/>
      </c>
      <c r="T31">
        <f>HYPERLINK("https://www.just-auto.com/news/bmw-to-add-production-lines-for-e-components-at-leipzig/", "source")</f>
        <v/>
      </c>
      <c r="U31">
        <f>HYPERLINK("https://www.just-auto.com/news/bmw-readies-leipzig-for-mini-countryman-ev/", "source")</f>
        <v/>
      </c>
      <c r="V31">
        <f>HYPERLINK("https://www.electrive.com/2020/09/23/bmw-to-launch-battery-module-mass-production-in-2021/", "source")</f>
        <v/>
      </c>
      <c r="W31" t="inlineStr"/>
      <c r="X31" t="inlineStr"/>
      <c r="Y31" t="inlineStr">
        <is>
          <t>57ccf01c-4d59-524e-9b73-49636db37d55</t>
        </is>
      </c>
    </row>
    <row r="32">
      <c r="A32" t="inlineStr">
        <is>
          <t>bmw</t>
        </is>
      </c>
      <c r="B32" t="inlineStr">
        <is>
          <t>DE</t>
        </is>
      </c>
      <c r="C32" t="inlineStr">
        <is>
          <t>Regensburg</t>
        </is>
      </c>
      <c r="D32" t="inlineStr">
        <is>
          <t>battery</t>
        </is>
      </c>
      <c r="E32" t="inlineStr">
        <is>
          <t>cell, module_pack</t>
        </is>
      </c>
      <c r="F32" t="n">
        <v>1</v>
      </c>
      <c r="G32" t="inlineStr">
        <is>
          <t>announced</t>
        </is>
      </c>
      <c r="H32" t="inlineStr"/>
      <c r="I32" t="inlineStr"/>
      <c r="J32" t="n">
        <v>150000000</v>
      </c>
      <c r="K32" t="n">
        <v>150000000</v>
      </c>
      <c r="L32" t="b">
        <v>0</v>
      </c>
      <c r="M32" t="inlineStr">
        <is>
          <t>2020-10</t>
        </is>
      </c>
      <c r="N32" t="inlineStr"/>
      <c r="O32" t="inlineStr"/>
      <c r="P32" t="b">
        <v>0</v>
      </c>
      <c r="Q32" t="b">
        <v>0</v>
      </c>
      <c r="R32" t="b">
        <v>0</v>
      </c>
      <c r="S32">
        <f>HYPERLINK("https://www.electrive.com/2020/10/22/bmw-ramps-up-battery-capacities-in-regensburg/", "source")</f>
        <v/>
      </c>
      <c r="T32" t="inlineStr"/>
      <c r="U32">
        <f>HYPERLINK("https://www.electrive.com/2020/10/22/bmw-ramps-up-battery-capacities-in-regensburg/", "source")</f>
        <v/>
      </c>
      <c r="V32">
        <f>HYPERLINK("https://www.electrive.com/2020/10/22/bmw-ramps-up-battery-capacities-in-regensburg/", "source")</f>
        <v/>
      </c>
      <c r="W32" t="inlineStr"/>
      <c r="X32" t="inlineStr"/>
      <c r="Y32" t="inlineStr">
        <is>
          <t>db33b0b4-406b-5eeb-a070-d33a5026ef6f</t>
        </is>
      </c>
    </row>
    <row r="33">
      <c r="A33" t="inlineStr">
        <is>
          <t>bmw</t>
        </is>
      </c>
      <c r="B33" t="inlineStr">
        <is>
          <t>DE</t>
        </is>
      </c>
      <c r="C33" t="inlineStr">
        <is>
          <t>Vaterstetten</t>
        </is>
      </c>
      <c r="D33" t="inlineStr">
        <is>
          <t>battery</t>
        </is>
      </c>
      <c r="E33" t="inlineStr">
        <is>
          <t>cell</t>
        </is>
      </c>
      <c r="F33" t="n">
        <v>1</v>
      </c>
      <c r="G33" t="inlineStr">
        <is>
          <t>under construction</t>
        </is>
      </c>
      <c r="H33" t="inlineStr"/>
      <c r="I33" t="inlineStr"/>
      <c r="J33" t="n">
        <v>110000000</v>
      </c>
      <c r="K33" t="n">
        <v>110000000</v>
      </c>
      <c r="L33" t="b">
        <v>0</v>
      </c>
      <c r="M33" t="inlineStr">
        <is>
          <t>2020-07</t>
        </is>
      </c>
      <c r="N33" t="inlineStr">
        <is>
          <t>2025-05</t>
        </is>
      </c>
      <c r="O33" t="inlineStr">
        <is>
          <t>2028-05</t>
        </is>
      </c>
      <c r="P33" t="b">
        <v>0</v>
      </c>
      <c r="Q33" t="b">
        <v>0</v>
      </c>
      <c r="R33" t="b">
        <v>1</v>
      </c>
      <c r="S33">
        <f>HYPERLINK("https://www.electrive.com/2025/05/20/bmw-integrates-solid-powers-solid-state-batteries-into-i7/", "source")</f>
        <v/>
      </c>
      <c r="T33">
        <f>HYPERLINK("https://www.electrive.com/2025/05/20/bmw-integrates-solid-powers-solid-state-batteries-into-i7/", "source")</f>
        <v/>
      </c>
      <c r="U33">
        <f>HYPERLINK("https://www.electrive.com/2021/11/04/manz-to-set-up-battery-production-lines-for-bmw/", "source")</f>
        <v/>
      </c>
      <c r="V33">
        <f>HYPERLINK("https://www.electrive.com/2020/07/30/bmw-is-awarded-millions-in-battery-research-funding/", "source")</f>
        <v/>
      </c>
      <c r="W33">
        <f>HYPERLINK("https://www.electrive.com/2025/05/20/bmw-integrates-solid-powers-solid-state-batteries-into-i7/", "source")</f>
        <v/>
      </c>
      <c r="X33" t="inlineStr"/>
      <c r="Y33" t="inlineStr">
        <is>
          <t>05523118-59f3-50aa-85fe-bd7d027a0146</t>
        </is>
      </c>
    </row>
    <row r="34">
      <c r="A34" t="inlineStr">
        <is>
          <t>bmw</t>
        </is>
      </c>
      <c r="B34" t="inlineStr">
        <is>
          <t>DE</t>
        </is>
      </c>
      <c r="C34" t="inlineStr">
        <is>
          <t>Vaterstetten</t>
        </is>
      </c>
      <c r="D34" t="inlineStr">
        <is>
          <t>battery</t>
        </is>
      </c>
      <c r="E34" t="inlineStr">
        <is>
          <t>cell</t>
        </is>
      </c>
      <c r="F34" t="n">
        <v>2</v>
      </c>
      <c r="G34" t="inlineStr">
        <is>
          <t>under construction</t>
        </is>
      </c>
      <c r="H34" t="inlineStr"/>
      <c r="I34" t="inlineStr"/>
      <c r="J34" t="n">
        <v>60000000</v>
      </c>
      <c r="K34" t="n">
        <v>170000000</v>
      </c>
      <c r="L34" t="b">
        <v>0</v>
      </c>
      <c r="M34" t="inlineStr">
        <is>
          <t>2022-05</t>
        </is>
      </c>
      <c r="N34" t="inlineStr">
        <is>
          <t>2022-05</t>
        </is>
      </c>
      <c r="O34" t="inlineStr">
        <is>
          <t>2025-05</t>
        </is>
      </c>
      <c r="P34" t="b">
        <v>0</v>
      </c>
      <c r="Q34" t="b">
        <v>0</v>
      </c>
      <c r="R34" t="b">
        <v>1</v>
      </c>
      <c r="S34">
        <f>HYPERLINK("https://www.electrive.com/2022/05/23/bmw-to-open-battery-competence-centre-in-autumn/", "source")</f>
        <v/>
      </c>
      <c r="T34" t="inlineStr"/>
      <c r="U34">
        <f>HYPERLINK("https://www.electrive.com/2022/05/23/bmw-to-open-battery-competence-centre-in-autumn/", "source")</f>
        <v/>
      </c>
      <c r="V34">
        <f>HYPERLINK("https://www.electrive.com/2022/05/23/bmw-to-open-battery-competence-centre-in-autumn/", "source")</f>
        <v/>
      </c>
      <c r="W34">
        <f>HYPERLINK("https://www.electrive.com/2022/05/23/bmw-to-open-battery-competence-centre-in-autumn/", "source")</f>
        <v/>
      </c>
      <c r="X34" t="inlineStr"/>
      <c r="Y34" t="inlineStr">
        <is>
          <t>05523118-59f3-50aa-85fe-bd7d027a0146</t>
        </is>
      </c>
    </row>
    <row r="35">
      <c r="A35" t="inlineStr">
        <is>
          <t>bmw</t>
        </is>
      </c>
      <c r="B35" t="inlineStr">
        <is>
          <t>DE</t>
        </is>
      </c>
      <c r="C35" t="inlineStr">
        <is>
          <t>Wackersdorf</t>
        </is>
      </c>
      <c r="D35" t="inlineStr">
        <is>
          <t>battery</t>
        </is>
      </c>
      <c r="E35" t="inlineStr">
        <is>
          <t>cell, module_pack</t>
        </is>
      </c>
      <c r="F35" t="n">
        <v>1</v>
      </c>
      <c r="G35" t="inlineStr">
        <is>
          <t>under construction</t>
        </is>
      </c>
      <c r="H35" t="inlineStr"/>
      <c r="I35" t="inlineStr"/>
      <c r="J35" t="n">
        <v>100000000</v>
      </c>
      <c r="K35" t="n">
        <v>100000000</v>
      </c>
      <c r="L35" t="b">
        <v>0</v>
      </c>
      <c r="M35" t="inlineStr">
        <is>
          <t>2024-11</t>
        </is>
      </c>
      <c r="N35" t="inlineStr">
        <is>
          <t>2024-11</t>
        </is>
      </c>
      <c r="O35" t="inlineStr">
        <is>
          <t>2027-11</t>
        </is>
      </c>
      <c r="P35" t="b">
        <v>0</v>
      </c>
      <c r="Q35" t="b">
        <v>0</v>
      </c>
      <c r="R35" t="b">
        <v>1</v>
      </c>
      <c r="S35">
        <f>HYPERLINK("https://www.just-auto.com/news/wackersdorf-battery-testing-centre/", "source")</f>
        <v/>
      </c>
      <c r="T35" t="inlineStr"/>
      <c r="U35">
        <f>HYPERLINK("https://www.just-auto.com/news/wackersdorf-battery-testing-centre/", "source")</f>
        <v/>
      </c>
      <c r="V35">
        <f>HYPERLINK("https://www.just-auto.com/news/wackersdorf-battery-testing-centre/", "source")</f>
        <v/>
      </c>
      <c r="W35">
        <f>HYPERLINK("https://www.just-auto.com/news/wackersdorf-battery-testing-centre/", "source")</f>
        <v/>
      </c>
      <c r="X35" t="inlineStr"/>
      <c r="Y35" t="inlineStr">
        <is>
          <t>1e7b6ec4-8b45-5451-8728-7c41a09eb989</t>
        </is>
      </c>
    </row>
    <row r="36">
      <c r="A36" t="inlineStr">
        <is>
          <t>bmw</t>
        </is>
      </c>
      <c r="B36" t="inlineStr">
        <is>
          <t>HU</t>
        </is>
      </c>
      <c r="C36" t="inlineStr">
        <is>
          <t>Hajdú-Bihar</t>
        </is>
      </c>
      <c r="D36" t="inlineStr">
        <is>
          <t>battery</t>
        </is>
      </c>
      <c r="E36" t="inlineStr">
        <is>
          <t>module_pack</t>
        </is>
      </c>
      <c r="F36" t="n">
        <v>1</v>
      </c>
      <c r="G36" t="inlineStr">
        <is>
          <t>operational</t>
        </is>
      </c>
      <c r="H36" t="n">
        <v>7.5</v>
      </c>
      <c r="I36" t="n">
        <v>7.5</v>
      </c>
      <c r="J36" t="n">
        <v>400000000</v>
      </c>
      <c r="K36" t="n">
        <v>400000000</v>
      </c>
      <c r="L36" t="b">
        <v>0</v>
      </c>
      <c r="M36" t="inlineStr">
        <is>
          <t>2022-11</t>
        </is>
      </c>
      <c r="N36" t="inlineStr">
        <is>
          <t>2022-11</t>
        </is>
      </c>
      <c r="O36" t="inlineStr">
        <is>
          <t>2025-09</t>
        </is>
      </c>
      <c r="P36" t="b">
        <v>0</v>
      </c>
      <c r="Q36" t="b">
        <v>0</v>
      </c>
      <c r="R36" t="b">
        <v>0</v>
      </c>
      <c r="S36">
        <f>HYPERLINK("https://hipa.hu/news/BMW-plant-Debrecen-inaugurated-Hungary-HIPA/", "source")</f>
        <v/>
      </c>
      <c r="T36">
        <f>HYPERLINK("https://hipa.hu/news/BMW-plant-Debrecen-inaugurated-Hungary-HIPA/", "source")</f>
        <v/>
      </c>
      <c r="U36">
        <f>HYPERLINK("https://hipa.hu/news/BMW-plant-Debrecen-inaugurated-Hungary-HIPA/", "source")</f>
        <v/>
      </c>
      <c r="V36">
        <f>HYPERLINK("https://www.electrive.com/2022/11/26/bmw-to-build-high-voltage-battery-assembly-in-debrecen/", "source")</f>
        <v/>
      </c>
      <c r="W36">
        <f>HYPERLINK("https://www.electrive.com/2022/11/26/bmw-to-build-high-voltage-battery-assembly-in-debrecen/", "source")</f>
        <v/>
      </c>
      <c r="X36">
        <f>HYPERLINK("https://hipa.hu/news/BMW-plant-Debrecen-inaugurated-Hungary-HIPA/", "source")</f>
        <v/>
      </c>
      <c r="Y36" t="inlineStr">
        <is>
          <t>7e03e079-0322-51ba-a0fb-6a9e6a52c47d</t>
        </is>
      </c>
    </row>
    <row r="37">
      <c r="A37" t="inlineStr">
        <is>
          <t>bmz</t>
        </is>
      </c>
      <c r="B37" t="inlineStr">
        <is>
          <t>DE</t>
        </is>
      </c>
      <c r="C37" t="inlineStr">
        <is>
          <t>Regenstauf, Markt</t>
        </is>
      </c>
      <c r="D37" t="inlineStr">
        <is>
          <t>battery</t>
        </is>
      </c>
      <c r="E37" t="inlineStr">
        <is>
          <t>cell, module_pack</t>
        </is>
      </c>
      <c r="F37" t="n">
        <v>1</v>
      </c>
      <c r="G37" t="inlineStr">
        <is>
          <t>under construction</t>
        </is>
      </c>
      <c r="H37" t="inlineStr"/>
      <c r="I37" t="inlineStr"/>
      <c r="J37" t="n">
        <v>120000000</v>
      </c>
      <c r="K37" t="n">
        <v>120000000</v>
      </c>
      <c r="L37" t="b">
        <v>0</v>
      </c>
      <c r="M37" t="inlineStr">
        <is>
          <t>2018-09</t>
        </is>
      </c>
      <c r="N37" t="inlineStr">
        <is>
          <t>2018-09</t>
        </is>
      </c>
      <c r="O37" t="inlineStr">
        <is>
          <t>2021-09</t>
        </is>
      </c>
      <c r="P37" t="b">
        <v>0</v>
      </c>
      <c r="Q37" t="b">
        <v>0</v>
      </c>
      <c r="R37" t="b">
        <v>1</v>
      </c>
      <c r="S37">
        <f>HYPERLINK("https://www.electrive.com/2018/09/26/bmz-investing-e120m-in-growing-battery-business/", "source")</f>
        <v/>
      </c>
      <c r="T37" t="inlineStr"/>
      <c r="U37">
        <f>HYPERLINK("https://www.electrive.com/2018/09/26/bmz-investing-e120m-in-growing-battery-business/", "source")</f>
        <v/>
      </c>
      <c r="V37">
        <f>HYPERLINK("https://www.electrive.com/2018/09/26/bmz-investing-e120m-in-growing-battery-business/", "source")</f>
        <v/>
      </c>
      <c r="W37">
        <f>HYPERLINK("https://www.electrive.com/2018/09/26/bmz-investing-e120m-in-growing-battery-business/", "source")</f>
        <v/>
      </c>
      <c r="X37" t="inlineStr"/>
      <c r="Y37" t="inlineStr">
        <is>
          <t>ffe5a3a7-ade7-5693-89fe-1fadf72cf6b4</t>
        </is>
      </c>
    </row>
    <row r="38">
      <c r="A38" t="inlineStr">
        <is>
          <t>bmz poland</t>
        </is>
      </c>
      <c r="B38" t="inlineStr">
        <is>
          <t>PL</t>
        </is>
      </c>
      <c r="C38" t="inlineStr">
        <is>
          <t>Gliwice</t>
        </is>
      </c>
      <c r="D38" t="inlineStr">
        <is>
          <t>battery</t>
        </is>
      </c>
      <c r="E38" t="inlineStr">
        <is>
          <t>module_pack</t>
        </is>
      </c>
      <c r="F38" t="n">
        <v>1</v>
      </c>
      <c r="G38" t="inlineStr">
        <is>
          <t>operational</t>
        </is>
      </c>
      <c r="H38" t="inlineStr"/>
      <c r="I38" t="inlineStr"/>
      <c r="J38" t="n">
        <v>9000000</v>
      </c>
      <c r="K38" t="n">
        <v>9000000</v>
      </c>
      <c r="L38" t="b">
        <v>0</v>
      </c>
      <c r="M38" t="inlineStr"/>
      <c r="N38" t="inlineStr"/>
      <c r="O38" t="inlineStr"/>
      <c r="P38" t="b">
        <v>0</v>
      </c>
      <c r="Q38" t="b">
        <v>0</v>
      </c>
      <c r="R38" t="b">
        <v>0</v>
      </c>
      <c r="S38">
        <f>HYPERLINK("https://lexpoland.com/bmz-poland-launched-new-factory-gliwice-9-million-euros/", "source")</f>
        <v/>
      </c>
      <c r="T38" t="inlineStr"/>
      <c r="U38">
        <f>HYPERLINK("https://lexpoland.com/bmz-poland-launched-new-factory-gliwice-9-million-euros/", "source")</f>
        <v/>
      </c>
      <c r="V38" t="inlineStr"/>
      <c r="W38" t="inlineStr"/>
      <c r="X38" t="inlineStr"/>
      <c r="Y38" t="inlineStr">
        <is>
          <t>2bacd819-f439-59db-8021-c79a1496d343</t>
        </is>
      </c>
    </row>
    <row r="39">
      <c r="A39" t="inlineStr">
        <is>
          <t>bmz poland</t>
        </is>
      </c>
      <c r="B39" t="inlineStr">
        <is>
          <t>PL</t>
        </is>
      </c>
      <c r="C39" t="inlineStr">
        <is>
          <t>Gliwice</t>
        </is>
      </c>
      <c r="D39" t="inlineStr">
        <is>
          <t>battery</t>
        </is>
      </c>
      <c r="E39" t="inlineStr">
        <is>
          <t>module_pack</t>
        </is>
      </c>
      <c r="F39" t="n">
        <v>2</v>
      </c>
      <c r="G39" t="inlineStr">
        <is>
          <t>under construction</t>
        </is>
      </c>
      <c r="H39" t="inlineStr"/>
      <c r="I39" t="inlineStr"/>
      <c r="J39" t="n">
        <v>15018787</v>
      </c>
      <c r="K39" t="n">
        <v>24018787</v>
      </c>
      <c r="L39" t="b">
        <v>0</v>
      </c>
      <c r="M39" t="inlineStr">
        <is>
          <t>2024-07</t>
        </is>
      </c>
      <c r="N39" t="inlineStr">
        <is>
          <t>2024-07</t>
        </is>
      </c>
      <c r="O39" t="inlineStr">
        <is>
          <t>2027-07</t>
        </is>
      </c>
      <c r="P39" t="b">
        <v>0</v>
      </c>
      <c r="Q39" t="b">
        <v>0</v>
      </c>
      <c r="R39" t="b">
        <v>1</v>
      </c>
      <c r="S39">
        <f>HYPERLINK("https://automotivesuppliers.pl/pl/polska/bmz-poland-rozbudowuje-fabryke-w-gliwicach", "source")</f>
        <v/>
      </c>
      <c r="T39" t="inlineStr"/>
      <c r="U39">
        <f>HYPERLINK("https://automotivesuppliers.pl/pl/polska/bmz-poland-rozbudowuje-fabryke-w-gliwicach", "source")</f>
        <v/>
      </c>
      <c r="V39">
        <f>HYPERLINK("https://automotivesuppliers.pl/pl/polska/bmz-poland-rozbudowuje-fabryke-w-gliwicach", "source")</f>
        <v/>
      </c>
      <c r="W39">
        <f>HYPERLINK("https://automotivesuppliers.pl/pl/polska/bmz-poland-rozbudowuje-fabryke-w-gliwicach", "source")</f>
        <v/>
      </c>
      <c r="X39" t="inlineStr"/>
      <c r="Y39" t="inlineStr">
        <is>
          <t>2bacd819-f439-59db-8021-c79a1496d343</t>
        </is>
      </c>
    </row>
    <row r="40">
      <c r="A40" t="inlineStr">
        <is>
          <t>britishvolt</t>
        </is>
      </c>
      <c r="B40" t="inlineStr">
        <is>
          <t>GB</t>
        </is>
      </c>
      <c r="C40" t="inlineStr">
        <is>
          <t>Northumberland</t>
        </is>
      </c>
      <c r="D40" t="inlineStr">
        <is>
          <t>battery</t>
        </is>
      </c>
      <c r="E40" t="inlineStr">
        <is>
          <t>cell, module_pack</t>
        </is>
      </c>
      <c r="F40" t="n">
        <v>1</v>
      </c>
      <c r="G40" t="inlineStr">
        <is>
          <t>cancelled</t>
        </is>
      </c>
      <c r="H40" t="n">
        <v>4</v>
      </c>
      <c r="I40" t="n">
        <v>4</v>
      </c>
      <c r="J40" t="n">
        <v>4600609581</v>
      </c>
      <c r="K40" t="n">
        <v>4600609581</v>
      </c>
      <c r="L40" t="b">
        <v>0</v>
      </c>
      <c r="M40" t="inlineStr">
        <is>
          <t>2020-06</t>
        </is>
      </c>
      <c r="N40" t="inlineStr">
        <is>
          <t>2021-12</t>
        </is>
      </c>
      <c r="O40" t="inlineStr">
        <is>
          <t>2024-12</t>
        </is>
      </c>
      <c r="P40" t="b">
        <v>0</v>
      </c>
      <c r="Q40" t="b">
        <v>0</v>
      </c>
      <c r="R40" t="b">
        <v>1</v>
      </c>
      <c r="S40">
        <f>HYPERLINK("https://www.electrive.com/2023/11/21/britishvolt-owner-recharge-faces-legal-action-by-staff/", "source")</f>
        <v/>
      </c>
      <c r="T40">
        <f>HYPERLINK("https://www.electrive.com/2022/01/21/britishvolt-receives-financing-for-blyth-battery-plant/", "source")</f>
        <v/>
      </c>
      <c r="U40">
        <f>HYPERLINK("https://www.electrive.com/2023/11/21/britishvolt-owner-recharge-faces-legal-action-by-staff/", "source")</f>
        <v/>
      </c>
      <c r="V40">
        <f>HYPERLINK("https://www.electrive.com/2020/06/15/britishvolt-amte-planning-uk-battery-plant/", "source")</f>
        <v/>
      </c>
      <c r="W40">
        <f>HYPERLINK("https://www.electrive.com/2021/12/22/britishvolt-orders-battery-production-machines-from-manz/", "source")</f>
        <v/>
      </c>
      <c r="X40" t="inlineStr"/>
      <c r="Y40" t="inlineStr">
        <is>
          <t>1e7fd6e6-2781-56fb-9c5f-e4d9e047bf36</t>
        </is>
      </c>
    </row>
    <row r="41">
      <c r="A41" t="inlineStr">
        <is>
          <t>calb</t>
        </is>
      </c>
      <c r="B41" t="inlineStr">
        <is>
          <t>PT</t>
        </is>
      </c>
      <c r="C41" t="inlineStr">
        <is>
          <t>Setúbal</t>
        </is>
      </c>
      <c r="D41" t="inlineStr">
        <is>
          <t>battery</t>
        </is>
      </c>
      <c r="E41" t="inlineStr">
        <is>
          <t>cell, module_pack</t>
        </is>
      </c>
      <c r="F41" t="n">
        <v>1</v>
      </c>
      <c r="G41" t="inlineStr">
        <is>
          <t>under construction</t>
        </is>
      </c>
      <c r="H41" t="n">
        <v>15</v>
      </c>
      <c r="I41" t="n">
        <v>15</v>
      </c>
      <c r="J41" t="n">
        <v>2000000000</v>
      </c>
      <c r="K41" t="n">
        <v>2000000000</v>
      </c>
      <c r="L41" t="b">
        <v>0</v>
      </c>
      <c r="M41" t="inlineStr">
        <is>
          <t>2022-11</t>
        </is>
      </c>
      <c r="N41" t="inlineStr">
        <is>
          <t>2025-02</t>
        </is>
      </c>
      <c r="O41" t="inlineStr">
        <is>
          <t>2028-02</t>
        </is>
      </c>
      <c r="P41" t="b">
        <v>0</v>
      </c>
      <c r="Q41" t="b">
        <v>0</v>
      </c>
      <c r="R41" t="b">
        <v>1</v>
      </c>
      <c r="S41">
        <f>HYPERLINK("https://autonews.gasgoo.com/new_energy/70036071.html?utm_source=openai", "source")</f>
        <v/>
      </c>
      <c r="T41">
        <f>HYPERLINK("https://autonews.gasgoo.com/new_energy/70036071.html?utm_source=openai", "source")</f>
        <v/>
      </c>
      <c r="U41">
        <f>HYPERLINK("https://autonews.gasgoo.com/new_energy/70036071.html?utm_source=openai", "source")</f>
        <v/>
      </c>
      <c r="V41">
        <f>HYPERLINK("https://www.electrive.com/2022/11/04/calb-signs-mou-for-factory-in-portugal/", "source")</f>
        <v/>
      </c>
      <c r="W41">
        <f>HYPERLINK("https://autonews.gasgoo.com/new_energy/70036071.html?utm_source=openai", "source")</f>
        <v/>
      </c>
      <c r="X41" t="inlineStr"/>
      <c r="Y41" t="inlineStr">
        <is>
          <t>d80db555-5503-549b-903f-3d2a47c752d0</t>
        </is>
      </c>
    </row>
    <row r="42">
      <c r="A42" t="inlineStr">
        <is>
          <t>capchem</t>
        </is>
      </c>
      <c r="B42" t="inlineStr">
        <is>
          <t>PL</t>
        </is>
      </c>
      <c r="C42" t="inlineStr">
        <is>
          <t>Wrocław</t>
        </is>
      </c>
      <c r="D42" t="inlineStr">
        <is>
          <t>battery</t>
        </is>
      </c>
      <c r="E42" t="inlineStr">
        <is>
          <t>eam</t>
        </is>
      </c>
      <c r="F42" t="n">
        <v>1</v>
      </c>
      <c r="G42" t="inlineStr">
        <is>
          <t>announced</t>
        </is>
      </c>
      <c r="H42" t="n">
        <v>40000</v>
      </c>
      <c r="I42" t="n">
        <v>40000</v>
      </c>
      <c r="J42" t="n">
        <v>1282490</v>
      </c>
      <c r="K42" t="n">
        <v>1282490</v>
      </c>
      <c r="L42" t="b">
        <v>0</v>
      </c>
      <c r="M42" t="inlineStr">
        <is>
          <t>2018-08</t>
        </is>
      </c>
      <c r="N42" t="inlineStr"/>
      <c r="O42" t="inlineStr"/>
      <c r="P42" t="b">
        <v>0</v>
      </c>
      <c r="Q42" t="b">
        <v>0</v>
      </c>
      <c r="R42" t="b">
        <v>0</v>
      </c>
      <c r="S42">
        <f>HYPERLINK("https://www.bestmag.co.uk/capchem-joins-asias-battery-march-eu-poland-plant/", "source")</f>
        <v/>
      </c>
      <c r="T42">
        <f>HYPERLINK("https://www.bestmag.co.uk/capchem-joins-asias-battery-march-eu-poland-plant/", "source")</f>
        <v/>
      </c>
      <c r="U42">
        <f>HYPERLINK("https://www.bestmag.co.uk/capchem-joins-asias-battery-march-eu-poland-plant/", "source")</f>
        <v/>
      </c>
      <c r="V42">
        <f>HYPERLINK("https://www.bestmag.co.uk/capchem-joins-asias-battery-march-eu-poland-plant/", "source")</f>
        <v/>
      </c>
      <c r="W42" t="inlineStr"/>
      <c r="X42" t="inlineStr"/>
      <c r="Y42" t="inlineStr">
        <is>
          <t>c35ce7c3-6063-51d8-94ed-7f61e77b3e2f</t>
        </is>
      </c>
    </row>
    <row r="43">
      <c r="A43" t="inlineStr">
        <is>
          <t>carlsberg group</t>
        </is>
      </c>
      <c r="B43" t="inlineStr">
        <is>
          <t>LT</t>
        </is>
      </c>
      <c r="C43" t="inlineStr">
        <is>
          <t>Utena</t>
        </is>
      </c>
      <c r="D43" t="inlineStr">
        <is>
          <t>battery</t>
        </is>
      </c>
      <c r="E43" t="inlineStr">
        <is>
          <t>module_pack</t>
        </is>
      </c>
      <c r="F43" t="n">
        <v>1</v>
      </c>
      <c r="G43" t="inlineStr">
        <is>
          <t>announced</t>
        </is>
      </c>
      <c r="H43" t="inlineStr"/>
      <c r="I43" t="inlineStr"/>
      <c r="J43" t="n">
        <v>6900000</v>
      </c>
      <c r="K43" t="n">
        <v>6900000</v>
      </c>
      <c r="L43" t="b">
        <v>0</v>
      </c>
      <c r="M43" t="inlineStr">
        <is>
          <t>2023-10</t>
        </is>
      </c>
      <c r="N43" t="inlineStr"/>
      <c r="O43" t="inlineStr"/>
      <c r="P43" t="b">
        <v>0</v>
      </c>
      <c r="Q43" t="b">
        <v>0</v>
      </c>
      <c r="R43" t="b">
        <v>0</v>
      </c>
      <c r="S43">
        <f>HYPERLINK("https://renews.biz/89127/green-genius-bags-69m-to-fund-solar-project/", "source")</f>
        <v/>
      </c>
      <c r="T43" t="inlineStr"/>
      <c r="U43">
        <f>HYPERLINK("https://renews.biz/89127/green-genius-bags-69m-to-fund-solar-project/", "source")</f>
        <v/>
      </c>
      <c r="V43">
        <f>HYPERLINK("https://renews.biz/89127/green-genius-bags-69m-to-fund-solar-project/", "source")</f>
        <v/>
      </c>
      <c r="W43" t="inlineStr"/>
      <c r="X43" t="inlineStr"/>
      <c r="Y43" t="inlineStr">
        <is>
          <t>4bf93b39-eb74-5858-bb8a-e7301713f6ed</t>
        </is>
      </c>
    </row>
    <row r="44">
      <c r="A44" t="inlineStr">
        <is>
          <t>catl</t>
        </is>
      </c>
      <c r="B44" t="inlineStr">
        <is>
          <t>DE</t>
        </is>
      </c>
      <c r="C44" t="inlineStr">
        <is>
          <t>Arnstadt</t>
        </is>
      </c>
      <c r="D44" t="inlineStr">
        <is>
          <t>battery</t>
        </is>
      </c>
      <c r="E44" t="inlineStr">
        <is>
          <t>cell, eam, module_pack</t>
        </is>
      </c>
      <c r="F44" t="n">
        <v>1</v>
      </c>
      <c r="G44" t="inlineStr">
        <is>
          <t>operational</t>
        </is>
      </c>
      <c r="H44" t="n">
        <v>8</v>
      </c>
      <c r="I44" t="n">
        <v>8</v>
      </c>
      <c r="J44" t="n">
        <v>1800000000</v>
      </c>
      <c r="K44" t="n">
        <v>1800000000</v>
      </c>
      <c r="L44" t="b">
        <v>0</v>
      </c>
      <c r="M44" t="inlineStr">
        <is>
          <t>2018-06</t>
        </is>
      </c>
      <c r="N44" t="inlineStr">
        <is>
          <t>2019-10</t>
        </is>
      </c>
      <c r="O44" t="inlineStr">
        <is>
          <t>2021-11</t>
        </is>
      </c>
      <c r="P44" t="b">
        <v>0</v>
      </c>
      <c r="Q44" t="b">
        <v>0</v>
      </c>
      <c r="R44" t="b">
        <v>0</v>
      </c>
      <c r="S44">
        <f>HYPERLINK("https://www.electrive.com/2023/03/30/catl-appoints-new-ceo-for-europe/", "source")</f>
        <v/>
      </c>
      <c r="T44">
        <f>HYPERLINK("https://www.electrive.com/2023/03/30/catl-appoints-new-ceo-for-europe/", "source")</f>
        <v/>
      </c>
      <c r="U44">
        <f>HYPERLINK("https://www.just-auto.com/news/catl-begins-battery-cell-production-in-germany/", "source")</f>
        <v/>
      </c>
      <c r="V44">
        <f>HYPERLINK("https://www.electrive.com/2018/06/29/bmw-announces-billion-euro-contract-for-catl/", "source")</f>
        <v/>
      </c>
      <c r="W44">
        <f>HYPERLINK("https://www.electrive.com/2019/10/19/catl-starts-building-battery-plant-in-germany/", "source")</f>
        <v/>
      </c>
      <c r="X44">
        <f>HYPERLINK("https://www.electrive.com/2021/11/25/catl-launches-personnel-recruitment-in-germany/", "source")</f>
        <v/>
      </c>
      <c r="Y44" t="inlineStr">
        <is>
          <t>c4cead77-f69a-58c7-9b98-896be26debde</t>
        </is>
      </c>
    </row>
    <row r="45">
      <c r="A45" t="inlineStr">
        <is>
          <t>catl</t>
        </is>
      </c>
      <c r="B45" t="inlineStr">
        <is>
          <t>DE</t>
        </is>
      </c>
      <c r="C45" t="inlineStr">
        <is>
          <t>Arnstadt</t>
        </is>
      </c>
      <c r="D45" t="inlineStr">
        <is>
          <t>battery</t>
        </is>
      </c>
      <c r="E45" t="inlineStr">
        <is>
          <t>cell, eam, module_pack</t>
        </is>
      </c>
      <c r="F45" t="n">
        <v>2</v>
      </c>
      <c r="G45" t="inlineStr">
        <is>
          <t>announced</t>
        </is>
      </c>
      <c r="H45" t="n">
        <v>6</v>
      </c>
      <c r="I45" t="n">
        <v>14</v>
      </c>
      <c r="J45" t="n">
        <v>0</v>
      </c>
      <c r="K45" t="n">
        <v>1800000000</v>
      </c>
      <c r="L45" t="b">
        <v>0</v>
      </c>
      <c r="M45" t="inlineStr">
        <is>
          <t>2019-10</t>
        </is>
      </c>
      <c r="N45" t="inlineStr"/>
      <c r="O45" t="inlineStr"/>
      <c r="P45" t="b">
        <v>0</v>
      </c>
      <c r="Q45" t="b">
        <v>0</v>
      </c>
      <c r="R45" t="b">
        <v>0</v>
      </c>
      <c r="S45">
        <f>HYPERLINK("https://www.electrive.com/2023/03/30/catl-appoints-new-ceo-for-europe/", "source")</f>
        <v/>
      </c>
      <c r="T45">
        <f>HYPERLINK("https://www.electrive.com/2023/03/30/catl-appoints-new-ceo-for-europe/", "source")</f>
        <v/>
      </c>
      <c r="U45">
        <f>HYPERLINK("https://www.electrive.com/2023/03/30/catl-appoints-new-ceo-for-europe/", "source")</f>
        <v/>
      </c>
      <c r="V45">
        <f>HYPERLINK("https://www.electrive.com/2019/10/19/catl-starts-building-battery-plant-in-germany/", "source")</f>
        <v/>
      </c>
      <c r="W45" t="inlineStr"/>
      <c r="X45" t="inlineStr"/>
      <c r="Y45" t="inlineStr">
        <is>
          <t>c4cead77-f69a-58c7-9b98-896be26debde</t>
        </is>
      </c>
    </row>
    <row r="46">
      <c r="A46" t="inlineStr">
        <is>
          <t>catl</t>
        </is>
      </c>
      <c r="B46" t="inlineStr">
        <is>
          <t>HU</t>
        </is>
      </c>
      <c r="C46" t="inlineStr">
        <is>
          <t>Hajdú-Bihar</t>
        </is>
      </c>
      <c r="D46" t="inlineStr">
        <is>
          <t>battery</t>
        </is>
      </c>
      <c r="E46" t="inlineStr">
        <is>
          <t>cell, module_pack</t>
        </is>
      </c>
      <c r="F46" t="n">
        <v>1</v>
      </c>
      <c r="G46" t="inlineStr">
        <is>
          <t>under construction</t>
        </is>
      </c>
      <c r="H46" t="n">
        <v>100</v>
      </c>
      <c r="I46" t="n">
        <v>100</v>
      </c>
      <c r="J46" t="n">
        <v>7300000000</v>
      </c>
      <c r="K46" t="n">
        <v>7300000000</v>
      </c>
      <c r="L46" t="b">
        <v>0</v>
      </c>
      <c r="M46" t="inlineStr">
        <is>
          <t>2022-08</t>
        </is>
      </c>
      <c r="N46" t="inlineStr">
        <is>
          <t>2025-05</t>
        </is>
      </c>
      <c r="O46" t="inlineStr">
        <is>
          <t>2028-05</t>
        </is>
      </c>
      <c r="P46" t="b">
        <v>0</v>
      </c>
      <c r="Q46" t="b">
        <v>0</v>
      </c>
      <c r="R46" t="b">
        <v>1</v>
      </c>
      <c r="S46">
        <f>HYPERLINK("https://www.electrive.com/2025/05/19/catl-raises-around-e4-1-billion-in-hong-kong-ipo/", "source")</f>
        <v/>
      </c>
      <c r="T46">
        <f>HYPERLINK("https://www.electrive.com/2025/05/19/catl-raises-around-e4-1-billion-in-hong-kong-ipo/", "source")</f>
        <v/>
      </c>
      <c r="U46">
        <f>HYPERLINK("https://www.electrive.com/2025/05/19/catl-raises-around-e4-1-billion-in-hong-kong-ipo/", "source")</f>
        <v/>
      </c>
      <c r="V46">
        <f>HYPERLINK("https://www.electrive.com/2022/08/12/catl-to-build-battery-factory-in-hungary-with-mercedes-as-major-customer/", "source")</f>
        <v/>
      </c>
      <c r="W46">
        <f>HYPERLINK("https://www.electrive.com/2025/05/19/catl-raises-around-e4-1-billion-in-hong-kong-ipo/", "source")</f>
        <v/>
      </c>
      <c r="X46" t="inlineStr"/>
      <c r="Y46" t="inlineStr">
        <is>
          <t>54f5cc52-e7c0-5479-9534-1f235137d442</t>
        </is>
      </c>
    </row>
    <row r="47">
      <c r="A47" t="inlineStr">
        <is>
          <t>draxlmaier</t>
        </is>
      </c>
      <c r="B47" t="inlineStr">
        <is>
          <t>DE</t>
        </is>
      </c>
      <c r="C47" t="inlineStr">
        <is>
          <t>Leipzig</t>
        </is>
      </c>
      <c r="D47" t="inlineStr">
        <is>
          <t>battery</t>
        </is>
      </c>
      <c r="E47" t="inlineStr">
        <is>
          <t>module_pack</t>
        </is>
      </c>
      <c r="F47" t="n">
        <v>1</v>
      </c>
      <c r="G47" t="inlineStr">
        <is>
          <t>under construction</t>
        </is>
      </c>
      <c r="H47" t="inlineStr"/>
      <c r="I47" t="inlineStr"/>
      <c r="J47" t="n">
        <v>48000000</v>
      </c>
      <c r="K47" t="n">
        <v>48000000</v>
      </c>
      <c r="L47" t="b">
        <v>0</v>
      </c>
      <c r="M47" t="inlineStr">
        <is>
          <t>2020-10</t>
        </is>
      </c>
      <c r="N47" t="inlineStr">
        <is>
          <t>2020-10</t>
        </is>
      </c>
      <c r="O47" t="inlineStr">
        <is>
          <t>2023-10</t>
        </is>
      </c>
      <c r="P47" t="b">
        <v>0</v>
      </c>
      <c r="Q47" t="b">
        <v>0</v>
      </c>
      <c r="R47" t="b">
        <v>1</v>
      </c>
      <c r="S47">
        <f>HYPERLINK("https://www.electrive.com/2021/06/15/draxlmaier-to-set-up-production-in-romania/", "source")</f>
        <v/>
      </c>
      <c r="T47" t="inlineStr"/>
      <c r="U47">
        <f>HYPERLINK("https://www.electrive.com/2021/06/15/draxlmaier-to-set-up-production-in-romania/", "source")</f>
        <v/>
      </c>
      <c r="V47">
        <f>HYPERLINK("https://www.electrive.com/2020/10/13/draxlmeier-tops-out-new-battery-plant-in-leipzig/", "source")</f>
        <v/>
      </c>
      <c r="W47">
        <f>HYPERLINK("https://www.electrive.com/2020/10/13/draxlmeier-tops-out-new-battery-plant-in-leipzig/", "source")</f>
        <v/>
      </c>
      <c r="X47" t="inlineStr"/>
      <c r="Y47" t="inlineStr">
        <is>
          <t>dfe412a0-9734-562b-b277-e52c75a5c024</t>
        </is>
      </c>
    </row>
    <row r="48">
      <c r="A48" t="inlineStr">
        <is>
          <t>draxlmaier</t>
        </is>
      </c>
      <c r="B48" t="inlineStr">
        <is>
          <t>RO</t>
        </is>
      </c>
      <c r="C48" t="inlineStr">
        <is>
          <t>Timiș County</t>
        </is>
      </c>
      <c r="D48" t="inlineStr">
        <is>
          <t>battery</t>
        </is>
      </c>
      <c r="E48" t="inlineStr">
        <is>
          <t>module_pack</t>
        </is>
      </c>
      <c r="F48" t="n">
        <v>1</v>
      </c>
      <c r="G48" t="inlineStr">
        <is>
          <t>announced</t>
        </is>
      </c>
      <c r="H48" t="inlineStr"/>
      <c r="I48" t="inlineStr"/>
      <c r="J48" t="n">
        <v>200000000</v>
      </c>
      <c r="K48" t="n">
        <v>200000000</v>
      </c>
      <c r="L48" t="b">
        <v>0</v>
      </c>
      <c r="M48" t="inlineStr">
        <is>
          <t>2021-06</t>
        </is>
      </c>
      <c r="N48" t="inlineStr"/>
      <c r="O48" t="inlineStr"/>
      <c r="P48" t="b">
        <v>0</v>
      </c>
      <c r="Q48" t="b">
        <v>0</v>
      </c>
      <c r="R48" t="b">
        <v>0</v>
      </c>
      <c r="S48">
        <f>HYPERLINK("https://www.electrive.com/2021/06/15/draxlmaier-to-set-up-production-in-romania/", "source")</f>
        <v/>
      </c>
      <c r="T48" t="inlineStr"/>
      <c r="U48">
        <f>HYPERLINK("https://www.electrive.com/2021/06/15/draxlmaier-to-set-up-production-in-romania/", "source")</f>
        <v/>
      </c>
      <c r="V48">
        <f>HYPERLINK("https://www.electrive.com/2021/06/15/draxlmaier-to-set-up-production-in-romania/", "source")</f>
        <v/>
      </c>
      <c r="W48" t="inlineStr"/>
      <c r="X48" t="inlineStr"/>
      <c r="Y48" t="inlineStr">
        <is>
          <t>6c1b65b4-4b30-5002-8230-49a48479ed70</t>
        </is>
      </c>
    </row>
    <row r="49">
      <c r="A49" t="inlineStr">
        <is>
          <t>ecopro</t>
        </is>
      </c>
      <c r="B49" t="inlineStr">
        <is>
          <t>HU</t>
        </is>
      </c>
      <c r="C49" t="inlineStr">
        <is>
          <t>Hajdú-Bihar</t>
        </is>
      </c>
      <c r="D49" t="inlineStr">
        <is>
          <t>battery</t>
        </is>
      </c>
      <c r="E49" t="inlineStr">
        <is>
          <t>eam</t>
        </is>
      </c>
      <c r="F49" t="n">
        <v>1</v>
      </c>
      <c r="G49" t="inlineStr">
        <is>
          <t>under construction</t>
        </is>
      </c>
      <c r="H49" t="n">
        <v>108000</v>
      </c>
      <c r="I49" t="n">
        <v>108000</v>
      </c>
      <c r="J49" t="n">
        <v>728000000</v>
      </c>
      <c r="K49" t="n">
        <v>728000000</v>
      </c>
      <c r="L49" t="b">
        <v>0</v>
      </c>
      <c r="M49" t="inlineStr">
        <is>
          <t>2021-12</t>
        </is>
      </c>
      <c r="N49" t="inlineStr">
        <is>
          <t>2023-04</t>
        </is>
      </c>
      <c r="O49" t="inlineStr">
        <is>
          <t>2026-04</t>
        </is>
      </c>
      <c r="P49" t="b">
        <v>0</v>
      </c>
      <c r="Q49" t="b">
        <v>0</v>
      </c>
      <c r="R49" t="b">
        <v>1</v>
      </c>
      <c r="S49">
        <f>HYPERLINK("https://www.electrive.com/2023/04/25/hungary-new-battery-plant-by-ecopro-bm-is-on-target/", "source")</f>
        <v/>
      </c>
      <c r="T49">
        <f>HYPERLINK("https://www.electrive.com/2023/04/25/hungary-new-battery-plant-by-ecopro-bm-is-on-target/", "source")</f>
        <v/>
      </c>
      <c r="U49">
        <f>HYPERLINK("https://www.electrive.com/2023/04/25/hungary-new-battery-plant-by-ecopro-bm-is-on-target/", "source")</f>
        <v/>
      </c>
      <c r="V49">
        <f>HYPERLINK("https://www.electrive.com/2021/12/09/ecopro-bm-to-build-battery-materials-factory-in-hungary/", "source")</f>
        <v/>
      </c>
      <c r="W49">
        <f>HYPERLINK("https://www.electrive.com/2023/04/25/hungary-new-battery-plant-by-ecopro-bm-is-on-target/", "source")</f>
        <v/>
      </c>
      <c r="X49" t="inlineStr"/>
      <c r="Y49" t="inlineStr">
        <is>
          <t>e9a73f4b-845e-5305-8a0d-fbb75985584b</t>
        </is>
      </c>
    </row>
    <row r="50">
      <c r="A50" t="inlineStr">
        <is>
          <t>eleo</t>
        </is>
      </c>
      <c r="B50" t="inlineStr">
        <is>
          <t>NL</t>
        </is>
      </c>
      <c r="C50" t="inlineStr">
        <is>
          <t>Gemeente Helmond</t>
        </is>
      </c>
      <c r="D50" t="inlineStr">
        <is>
          <t>battery</t>
        </is>
      </c>
      <c r="E50" t="inlineStr">
        <is>
          <t>module_pack</t>
        </is>
      </c>
      <c r="F50" t="n">
        <v>1</v>
      </c>
      <c r="G50" t="inlineStr">
        <is>
          <t>operational</t>
        </is>
      </c>
      <c r="H50" t="n">
        <v>0.5</v>
      </c>
      <c r="I50" t="n">
        <v>0.5</v>
      </c>
      <c r="J50" t="n">
        <v>20000000</v>
      </c>
      <c r="K50" t="n">
        <v>20000000</v>
      </c>
      <c r="L50" t="b">
        <v>1</v>
      </c>
      <c r="M50" t="inlineStr">
        <is>
          <t>2020-01</t>
        </is>
      </c>
      <c r="N50" t="inlineStr">
        <is>
          <t>2020-01</t>
        </is>
      </c>
      <c r="O50" t="inlineStr">
        <is>
          <t>2023-01</t>
        </is>
      </c>
      <c r="P50" t="b">
        <v>1</v>
      </c>
      <c r="Q50" t="b">
        <v>1</v>
      </c>
      <c r="R50" t="b">
        <v>0</v>
      </c>
      <c r="S50">
        <f>HYPERLINK("https://www.tue.nl/en/news-and-events/news-overview/26-01-2023-king-willem-alexander-opens-eleo-battery-production-plant-in-helmond", "source")</f>
        <v/>
      </c>
      <c r="T50">
        <f>HYPERLINK("https://www.tue.nl/en/news-and-events/news-overview/26-01-2023-king-willem-alexander-opens-eleo-battery-production-plant-in-helmond", "source")</f>
        <v/>
      </c>
      <c r="U50">
        <f>HYPERLINK("https://www.tue.nl/en/news-and-events/news-overview/26-01-2023-king-willem-alexander-opens-eleo-battery-production-plant-in-helmond", "source")</f>
        <v/>
      </c>
      <c r="V50" t="inlineStr"/>
      <c r="W50" t="inlineStr"/>
      <c r="X50">
        <f>HYPERLINK("https://www.tue.nl/en/news-and-events/news-overview/26-01-2023-king-willem-alexander-opens-eleo-battery-production-plant-in-helmond", "source")</f>
        <v/>
      </c>
      <c r="Y50" t="inlineStr">
        <is>
          <t>3e477420-134c-5ce6-bae2-ea0b722a5c60</t>
        </is>
      </c>
    </row>
    <row r="51">
      <c r="A51" t="inlineStr">
        <is>
          <t>encory gmbh</t>
        </is>
      </c>
      <c r="B51" t="inlineStr">
        <is>
          <t>DE</t>
        </is>
      </c>
      <c r="C51" t="inlineStr">
        <is>
          <t>Kirchroth</t>
        </is>
      </c>
      <c r="D51" t="inlineStr">
        <is>
          <t>battery</t>
        </is>
      </c>
      <c r="E51" t="inlineStr">
        <is>
          <t>cell</t>
        </is>
      </c>
      <c r="F51" t="n">
        <v>1</v>
      </c>
      <c r="G51" t="inlineStr">
        <is>
          <t>announced</t>
        </is>
      </c>
      <c r="H51" t="inlineStr"/>
      <c r="I51" t="inlineStr"/>
      <c r="J51" t="n">
        <v>10000000</v>
      </c>
      <c r="K51" t="n">
        <v>10000000</v>
      </c>
      <c r="L51" t="b">
        <v>0</v>
      </c>
      <c r="M51" t="inlineStr">
        <is>
          <t>2024-11</t>
        </is>
      </c>
      <c r="N51" t="inlineStr"/>
      <c r="O51" t="inlineStr"/>
      <c r="P51" t="b">
        <v>0</v>
      </c>
      <c r="Q51" t="b">
        <v>0</v>
      </c>
      <c r="R51" t="b">
        <v>0</v>
      </c>
      <c r="S51">
        <f>HYPERLINK("https://www.electrive.com/2024/11/27/bmw-to-open-battery-cell-recycling-centre-in-bavaria/", "source")</f>
        <v/>
      </c>
      <c r="T51" t="inlineStr"/>
      <c r="U51">
        <f>HYPERLINK("https://www.electrive.com/2024/11/27/bmw-to-open-battery-cell-recycling-centre-in-bavaria/", "source")</f>
        <v/>
      </c>
      <c r="V51">
        <f>HYPERLINK("https://www.electrive.com/2024/11/27/bmw-to-open-battery-cell-recycling-centre-in-bavaria/", "source")</f>
        <v/>
      </c>
      <c r="W51" t="inlineStr"/>
      <c r="X51" t="inlineStr"/>
      <c r="Y51" t="inlineStr">
        <is>
          <t>6d3286a5-2e1f-5630-890d-4b12decf5d4b</t>
        </is>
      </c>
    </row>
    <row r="52">
      <c r="A52" t="inlineStr">
        <is>
          <t>enwires lotte venture</t>
        </is>
      </c>
      <c r="B52" t="inlineStr">
        <is>
          <t>FR</t>
        </is>
      </c>
      <c r="C52" t="inlineStr">
        <is>
          <t>Grenoble</t>
        </is>
      </c>
      <c r="D52" t="inlineStr">
        <is>
          <t>battery</t>
        </is>
      </c>
      <c r="E52" t="inlineStr">
        <is>
          <t>eam</t>
        </is>
      </c>
      <c r="F52" t="n">
        <v>1</v>
      </c>
      <c r="G52" t="inlineStr">
        <is>
          <t>announced</t>
        </is>
      </c>
      <c r="H52" t="inlineStr"/>
      <c r="I52" t="inlineStr"/>
      <c r="J52" t="n">
        <v>5514834</v>
      </c>
      <c r="K52" t="n">
        <v>5514834</v>
      </c>
      <c r="L52" t="b">
        <v>0</v>
      </c>
      <c r="M52" t="inlineStr">
        <is>
          <t>2023-07</t>
        </is>
      </c>
      <c r="N52" t="inlineStr"/>
      <c r="O52" t="inlineStr"/>
      <c r="P52" t="b">
        <v>0</v>
      </c>
      <c r="Q52" t="b">
        <v>0</v>
      </c>
      <c r="R52" t="b">
        <v>0</v>
      </c>
      <c r="S52">
        <f>HYPERLINK("https://www.just-auto.com/news/lotte-invests-in-battery-materials-startup/", "source")</f>
        <v/>
      </c>
      <c r="T52" t="inlineStr"/>
      <c r="U52">
        <f>HYPERLINK("https://www.just-auto.com/news/lotte-invests-in-battery-materials-startup/", "source")</f>
        <v/>
      </c>
      <c r="V52">
        <f>HYPERLINK("https://www.just-auto.com/news/lotte-invests-in-battery-materials-startup/", "source")</f>
        <v/>
      </c>
      <c r="W52" t="inlineStr"/>
      <c r="X52" t="inlineStr"/>
      <c r="Y52" t="inlineStr">
        <is>
          <t>8755143a-08f4-5a53-abd5-c2b866ac9247</t>
        </is>
      </c>
    </row>
    <row r="53">
      <c r="A53" t="inlineStr">
        <is>
          <t>eve energy</t>
        </is>
      </c>
      <c r="B53" t="inlineStr">
        <is>
          <t>GB</t>
        </is>
      </c>
      <c r="C53" t="inlineStr">
        <is>
          <t>Coventry</t>
        </is>
      </c>
      <c r="D53" t="inlineStr">
        <is>
          <t>battery</t>
        </is>
      </c>
      <c r="E53" t="inlineStr">
        <is>
          <t>cell</t>
        </is>
      </c>
      <c r="F53" t="n">
        <v>1</v>
      </c>
      <c r="G53" t="inlineStr">
        <is>
          <t>announced</t>
        </is>
      </c>
      <c r="H53" t="n">
        <v>20</v>
      </c>
      <c r="I53" t="n">
        <v>20</v>
      </c>
      <c r="J53" t="n">
        <v>1402065710</v>
      </c>
      <c r="K53" t="n">
        <v>1402065710</v>
      </c>
      <c r="L53" t="b">
        <v>0</v>
      </c>
      <c r="M53" t="inlineStr">
        <is>
          <t>2021-10</t>
        </is>
      </c>
      <c r="N53" t="inlineStr"/>
      <c r="O53" t="inlineStr"/>
      <c r="P53" t="b">
        <v>0</v>
      </c>
      <c r="Q53" t="b">
        <v>0</v>
      </c>
      <c r="R53" t="b">
        <v>0</v>
      </c>
      <c r="S53">
        <f>HYPERLINK("https://www.electrive.com/2024/03/25/eve-energy-considers-building-battery-factory-in-coventry/", "source")</f>
        <v/>
      </c>
      <c r="T53">
        <f>HYPERLINK("https://www.electrive.com/2024/03/25/eve-energy-considers-building-battery-factory-in-coventry/", "source")</f>
        <v/>
      </c>
      <c r="U53">
        <f>HYPERLINK("https://www.electrive.com/2024/03/25/eve-energy-considers-building-battery-factory-in-coventry/", "source")</f>
        <v/>
      </c>
      <c r="V53">
        <f>HYPERLINK("https://www.electrive.com/2021/10/21/coventry-gigafactory-targets-60-gwh-capacity/", "source")</f>
        <v/>
      </c>
      <c r="W53" t="inlineStr"/>
      <c r="X53" t="inlineStr"/>
      <c r="Y53" t="inlineStr">
        <is>
          <t>9d896b6f-fad4-535e-a9d0-b192b3fbaf95</t>
        </is>
      </c>
    </row>
    <row r="54">
      <c r="A54" t="inlineStr">
        <is>
          <t>eve energy</t>
        </is>
      </c>
      <c r="B54" t="inlineStr">
        <is>
          <t>HU</t>
        </is>
      </c>
      <c r="C54" t="inlineStr">
        <is>
          <t>Hajdú-Bihar</t>
        </is>
      </c>
      <c r="D54" t="inlineStr">
        <is>
          <t>battery</t>
        </is>
      </c>
      <c r="E54" t="inlineStr">
        <is>
          <t>cell</t>
        </is>
      </c>
      <c r="F54" t="n">
        <v>1</v>
      </c>
      <c r="G54" t="inlineStr">
        <is>
          <t>under construction</t>
        </is>
      </c>
      <c r="H54" t="n">
        <v>28</v>
      </c>
      <c r="I54" t="n">
        <v>28</v>
      </c>
      <c r="J54" t="n">
        <v>970579315</v>
      </c>
      <c r="K54" t="n">
        <v>970579315</v>
      </c>
      <c r="L54" t="b">
        <v>0</v>
      </c>
      <c r="M54" t="inlineStr">
        <is>
          <t>2022-08</t>
        </is>
      </c>
      <c r="N54" t="inlineStr">
        <is>
          <t>2023-10</t>
        </is>
      </c>
      <c r="O54" t="inlineStr">
        <is>
          <t>2026-10</t>
        </is>
      </c>
      <c r="P54" t="b">
        <v>0</v>
      </c>
      <c r="Q54" t="b">
        <v>0</v>
      </c>
      <c r="R54" t="b">
        <v>1</v>
      </c>
      <c r="S54">
        <f>HYPERLINK("https://www.electrive.com/2025/09/10/eve-energy-dr-liu-jincheng-on-four-decades-of-battery-innovation-and-the-road-ahead/", "source")</f>
        <v/>
      </c>
      <c r="T54">
        <f>HYPERLINK("https://www.electrive.com/2024/06/20/eve-energy-presents-round-cells-with-6c-charge-rate/", "source")</f>
        <v/>
      </c>
      <c r="U54">
        <f>HYPERLINK("https://hungarytoday.hu/green-light-for-eve-powers-battery-factory-in-debrecen/", "source")</f>
        <v/>
      </c>
      <c r="V54">
        <f>HYPERLINK("https://www.electrive.com/2022/08/17/eve-energy-rumoured-to-bmws-new-battery-supplier/", "source")</f>
        <v/>
      </c>
      <c r="W54">
        <f>HYPERLINK("https://www.electrive.com/2023/10/12/svolt-signs-battery-supply-deal-with-bmw/", "source")</f>
        <v/>
      </c>
      <c r="X54" t="inlineStr"/>
      <c r="Y54" t="inlineStr">
        <is>
          <t>bef1a9b4-d963-541c-a91a-a162ee96fe3c</t>
        </is>
      </c>
    </row>
    <row r="55">
      <c r="A55" t="inlineStr">
        <is>
          <t>faam fib spa</t>
        </is>
      </c>
      <c r="B55" t="inlineStr">
        <is>
          <t>IT</t>
        </is>
      </c>
      <c r="C55" t="inlineStr">
        <is>
          <t>Teverola</t>
        </is>
      </c>
      <c r="D55" t="inlineStr">
        <is>
          <t>battery</t>
        </is>
      </c>
      <c r="E55" t="inlineStr">
        <is>
          <t>cell, module_pack</t>
        </is>
      </c>
      <c r="F55" t="n">
        <v>1</v>
      </c>
      <c r="G55" t="inlineStr">
        <is>
          <t>operational</t>
        </is>
      </c>
      <c r="H55" t="n">
        <v>0.35</v>
      </c>
      <c r="I55" t="n">
        <v>0.35</v>
      </c>
      <c r="J55" t="n">
        <v>506000000</v>
      </c>
      <c r="K55" t="n">
        <v>506000000</v>
      </c>
      <c r="L55" t="b">
        <v>0</v>
      </c>
      <c r="M55" t="inlineStr">
        <is>
          <t>2022-03</t>
        </is>
      </c>
      <c r="N55" t="inlineStr">
        <is>
          <t>2022-03</t>
        </is>
      </c>
      <c r="O55" t="inlineStr">
        <is>
          <t>2022-01</t>
        </is>
      </c>
      <c r="P55" t="b">
        <v>0</v>
      </c>
      <c r="Q55" t="b">
        <v>1</v>
      </c>
      <c r="R55" t="b">
        <v>0</v>
      </c>
      <c r="S55">
        <f>HYPERLINK("https://www.ipcei-batteries.eu/", "source")</f>
        <v/>
      </c>
      <c r="T55">
        <f>HYPERLINK("https://www.ipcei-batteries.eu/", "source")</f>
        <v/>
      </c>
      <c r="U55">
        <f>HYPERLINK("https://faam.com/en/the-italy-of-the-batteries-beats-a-blow-417-mln-e-for-teverola/?utm_source=chatgpt.com", "source")</f>
        <v/>
      </c>
      <c r="V55">
        <f>HYPERLINK("https://faam.com/en/the-italy-of-the-batteries-beats-a-blow-417-mln-e-for-teverola/?utm_source=chatgpt.com", "source")</f>
        <v/>
      </c>
      <c r="W55" t="inlineStr"/>
      <c r="X55">
        <f>HYPERLINK("https://www.ipcei-batteries.eu/", "source")</f>
        <v/>
      </c>
      <c r="Y55" t="inlineStr">
        <is>
          <t>fb990f02-ad8c-57bc-9ec7-b67d626b8a57</t>
        </is>
      </c>
    </row>
    <row r="56">
      <c r="A56" t="inlineStr">
        <is>
          <t>faam fib spa</t>
        </is>
      </c>
      <c r="B56" t="inlineStr">
        <is>
          <t>IT</t>
        </is>
      </c>
      <c r="C56" t="inlineStr">
        <is>
          <t>Teverola</t>
        </is>
      </c>
      <c r="D56" t="inlineStr">
        <is>
          <t>battery</t>
        </is>
      </c>
      <c r="E56" t="inlineStr">
        <is>
          <t>cell, module_pack</t>
        </is>
      </c>
      <c r="F56" t="n">
        <v>2</v>
      </c>
      <c r="G56" t="inlineStr">
        <is>
          <t>announced</t>
        </is>
      </c>
      <c r="H56" t="n">
        <v>7.4</v>
      </c>
      <c r="I56" t="n">
        <v>7.75</v>
      </c>
      <c r="J56" t="n">
        <v>0</v>
      </c>
      <c r="K56" t="n">
        <v>506000000</v>
      </c>
      <c r="L56" t="b">
        <v>0</v>
      </c>
      <c r="M56" t="inlineStr">
        <is>
          <t>2022-03</t>
        </is>
      </c>
      <c r="N56" t="inlineStr"/>
      <c r="O56" t="inlineStr"/>
      <c r="P56" t="b">
        <v>0</v>
      </c>
      <c r="Q56" t="b">
        <v>0</v>
      </c>
      <c r="R56" t="b">
        <v>0</v>
      </c>
      <c r="S56">
        <f>HYPERLINK("https://faam.com/en/the-italy-of-the-batteries-beats-a-blow-417-mln-e-for-teverola/?utm_source=chatgpt.com", "source")</f>
        <v/>
      </c>
      <c r="T56">
        <f>HYPERLINK("https://faam.com/en/the-italy-of-the-batteries-beats-a-blow-417-mln-e-for-teverola/?utm_source=chatgpt.com", "source")</f>
        <v/>
      </c>
      <c r="U56">
        <f>HYPERLINK("https://faam.com/en/the-italy-of-the-batteries-beats-a-blow-417-mln-e-for-teverola/?utm_source=chatgpt.com", "source")</f>
        <v/>
      </c>
      <c r="V56">
        <f>HYPERLINK("https://faam.com/en/the-italy-of-the-batteries-beats-a-blow-417-mln-e-for-teverola/?utm_source=chatgpt.com", "source")</f>
        <v/>
      </c>
      <c r="W56" t="inlineStr"/>
      <c r="X56" t="inlineStr"/>
      <c r="Y56" t="inlineStr">
        <is>
          <t>fb990f02-ad8c-57bc-9ec7-b67d626b8a57</t>
        </is>
      </c>
    </row>
    <row r="57">
      <c r="A57" t="inlineStr">
        <is>
          <t>farasis</t>
        </is>
      </c>
      <c r="B57" t="inlineStr">
        <is>
          <t>DE</t>
        </is>
      </c>
      <c r="C57" t="inlineStr">
        <is>
          <t>Bitterfeld-Wolfen</t>
        </is>
      </c>
      <c r="D57" t="inlineStr">
        <is>
          <t>battery</t>
        </is>
      </c>
      <c r="E57" t="inlineStr">
        <is>
          <t>cell, module_pack</t>
        </is>
      </c>
      <c r="F57" t="n">
        <v>1</v>
      </c>
      <c r="G57" t="inlineStr">
        <is>
          <t>cancelled</t>
        </is>
      </c>
      <c r="H57" t="n">
        <v>10</v>
      </c>
      <c r="I57" t="n">
        <v>10</v>
      </c>
      <c r="J57" t="n">
        <v>600000000</v>
      </c>
      <c r="K57" t="n">
        <v>600000000</v>
      </c>
      <c r="L57" t="b">
        <v>0</v>
      </c>
      <c r="M57" t="inlineStr">
        <is>
          <t>2019-05</t>
        </is>
      </c>
      <c r="N57" t="inlineStr"/>
      <c r="O57" t="inlineStr"/>
      <c r="P57" t="b">
        <v>0</v>
      </c>
      <c r="Q57" t="b">
        <v>0</v>
      </c>
      <c r="R57" t="b">
        <v>0</v>
      </c>
      <c r="S57">
        <f>HYPERLINK("https://www.electrive.com/2022/05/04/bitterfeld-wolfen-is-cancelling-contract-with-farasis/", "source")</f>
        <v/>
      </c>
      <c r="T57">
        <f>HYPERLINK("https://www.electrive.com/2022/05/04/bitterfeld-wolfen-is-cancelling-contract-with-farasis/", "source")</f>
        <v/>
      </c>
      <c r="U57">
        <f>HYPERLINK("https://www.electrive.com/2020/10/20/farasis-to-supply-toggs-batteries/", "source")</f>
        <v/>
      </c>
      <c r="V57">
        <f>HYPERLINK("https://www.electrive.com/2019/05/09/farasis-energy-plans-battery-plant-in-germany/", "source")</f>
        <v/>
      </c>
      <c r="W57" t="inlineStr"/>
      <c r="X57" t="inlineStr"/>
      <c r="Y57" t="inlineStr">
        <is>
          <t>7a2c903e-d54b-54ba-b541-10b34debc501</t>
        </is>
      </c>
    </row>
    <row r="58">
      <c r="A58" t="inlineStr">
        <is>
          <t>farasis</t>
        </is>
      </c>
      <c r="B58" t="inlineStr">
        <is>
          <t>DE</t>
        </is>
      </c>
      <c r="C58" t="inlineStr">
        <is>
          <t>Bitterfeld-Wolfen</t>
        </is>
      </c>
      <c r="D58" t="inlineStr">
        <is>
          <t>battery</t>
        </is>
      </c>
      <c r="E58" t="inlineStr">
        <is>
          <t>cell, module_pack</t>
        </is>
      </c>
      <c r="F58" t="n">
        <v>2</v>
      </c>
      <c r="G58" t="inlineStr">
        <is>
          <t>announced</t>
        </is>
      </c>
      <c r="H58" t="n">
        <v>0</v>
      </c>
      <c r="I58" t="n">
        <v>10</v>
      </c>
      <c r="J58" t="n">
        <v>0</v>
      </c>
      <c r="K58" t="n">
        <v>600000000</v>
      </c>
      <c r="L58" t="b">
        <v>1</v>
      </c>
      <c r="M58" t="inlineStr">
        <is>
          <t>2021-02</t>
        </is>
      </c>
      <c r="N58" t="inlineStr"/>
      <c r="O58" t="inlineStr"/>
      <c r="P58" t="b">
        <v>0</v>
      </c>
      <c r="Q58" t="b">
        <v>0</v>
      </c>
      <c r="R58" t="b">
        <v>0</v>
      </c>
      <c r="S58">
        <f>HYPERLINK("https://www.electrive.com/2021/02/23/problems-mounting-for-daimler-battery-supplier-farasis/", "source")</f>
        <v/>
      </c>
      <c r="T58">
        <f>HYPERLINK("https://www.electrive.com/2021/02/23/problems-mounting-for-daimler-battery-supplier-farasis/", "source")</f>
        <v/>
      </c>
      <c r="U58">
        <f>HYPERLINK("https://www.electrive.com/2021/02/23/problems-mounting-for-daimler-battery-supplier-farasis/", "source")</f>
        <v/>
      </c>
      <c r="V58">
        <f>HYPERLINK("https://www.electrive.com/2021/02/23/problems-mounting-for-daimler-battery-supplier-farasis/", "source")</f>
        <v/>
      </c>
      <c r="W58" t="inlineStr"/>
      <c r="X58" t="inlineStr"/>
      <c r="Y58" t="inlineStr">
        <is>
          <t>7a2c903e-d54b-54ba-b541-10b34debc501</t>
        </is>
      </c>
    </row>
    <row r="59">
      <c r="A59" t="inlineStr">
        <is>
          <t>fenecon</t>
        </is>
      </c>
      <c r="B59" t="inlineStr">
        <is>
          <t>DE</t>
        </is>
      </c>
      <c r="C59" t="inlineStr">
        <is>
          <t>Iggensbach</t>
        </is>
      </c>
      <c r="D59" t="inlineStr">
        <is>
          <t>battery</t>
        </is>
      </c>
      <c r="E59" t="inlineStr">
        <is>
          <t>module_pack</t>
        </is>
      </c>
      <c r="F59" t="n">
        <v>1</v>
      </c>
      <c r="G59" t="inlineStr">
        <is>
          <t>operational</t>
        </is>
      </c>
      <c r="H59" t="inlineStr"/>
      <c r="I59" t="inlineStr"/>
      <c r="J59" t="n">
        <v>60000000</v>
      </c>
      <c r="K59" t="n">
        <v>60000000</v>
      </c>
      <c r="L59" t="b">
        <v>1</v>
      </c>
      <c r="M59" t="inlineStr">
        <is>
          <t>2021-04</t>
        </is>
      </c>
      <c r="N59" t="inlineStr">
        <is>
          <t>2021-04</t>
        </is>
      </c>
      <c r="O59" t="inlineStr">
        <is>
          <t>2024-04</t>
        </is>
      </c>
      <c r="P59" t="b">
        <v>1</v>
      </c>
      <c r="Q59" t="b">
        <v>1</v>
      </c>
      <c r="R59" t="b">
        <v>0</v>
      </c>
      <c r="S59">
        <f>HYPERLINK("https://www.electrive.com/2024/04/03/fenecon-opens-factory-for-second-life-battery-storage-systems/", "source")</f>
        <v/>
      </c>
      <c r="T59">
        <f>HYPERLINK("https://www.electrive.com/2024/04/03/fenecon-opens-factory-for-second-life-battery-storage-systems/", "source")</f>
        <v/>
      </c>
      <c r="U59">
        <f>HYPERLINK("https://www.electrive.com/2024/04/03/fenecon-opens-factory-for-second-life-battery-storage-systems/", "source")</f>
        <v/>
      </c>
      <c r="V59" t="inlineStr"/>
      <c r="W59" t="inlineStr"/>
      <c r="X59">
        <f>HYPERLINK("https://www.electrive.com/2024/04/03/fenecon-opens-factory-for-second-life-battery-storage-systems/", "source")</f>
        <v/>
      </c>
      <c r="Y59" t="inlineStr">
        <is>
          <t>a71ef330-e879-5325-b07f-1a4fd969cbb9</t>
        </is>
      </c>
    </row>
    <row r="60">
      <c r="A60" t="inlineStr">
        <is>
          <t>fenecon</t>
        </is>
      </c>
      <c r="B60" t="inlineStr">
        <is>
          <t>DE</t>
        </is>
      </c>
      <c r="C60" t="inlineStr">
        <is>
          <t>Iggensbach</t>
        </is>
      </c>
      <c r="D60" t="inlineStr">
        <is>
          <t>battery</t>
        </is>
      </c>
      <c r="E60" t="inlineStr">
        <is>
          <t>module_pack</t>
        </is>
      </c>
      <c r="F60" t="n">
        <v>2</v>
      </c>
      <c r="G60" t="inlineStr">
        <is>
          <t>operational</t>
        </is>
      </c>
      <c r="H60" t="inlineStr"/>
      <c r="I60" t="inlineStr"/>
      <c r="J60" t="n">
        <v>0</v>
      </c>
      <c r="K60" t="n">
        <v>25000000</v>
      </c>
      <c r="L60" t="b">
        <v>0</v>
      </c>
      <c r="M60" t="inlineStr"/>
      <c r="N60" t="inlineStr"/>
      <c r="O60" t="inlineStr"/>
      <c r="P60" t="b">
        <v>0</v>
      </c>
      <c r="Q60" t="b">
        <v>0</v>
      </c>
      <c r="R60" t="b">
        <v>0</v>
      </c>
      <c r="S60">
        <f>HYPERLINK("https://www.electrive.com/2024/04/03/fenecon-opens-factory-for-second-life-battery-storage-systems/", "source")</f>
        <v/>
      </c>
      <c r="T60" t="inlineStr"/>
      <c r="U60">
        <f>HYPERLINK("https://www.electrive.com/2024/04/03/fenecon-opens-factory-for-second-life-battery-storage-systems/", "source")</f>
        <v/>
      </c>
      <c r="V60" t="inlineStr"/>
      <c r="W60" t="inlineStr"/>
      <c r="X60" t="inlineStr"/>
      <c r="Y60" t="inlineStr">
        <is>
          <t>a71ef330-e879-5325-b07f-1a4fd969cbb9</t>
        </is>
      </c>
    </row>
    <row r="61">
      <c r="A61" t="inlineStr">
        <is>
          <t>finnish minerals beijing easpring</t>
        </is>
      </c>
      <c r="B61" t="inlineStr">
        <is>
          <t>FI</t>
        </is>
      </c>
      <c r="C61" t="inlineStr">
        <is>
          <t>Kotka</t>
        </is>
      </c>
      <c r="D61" t="inlineStr">
        <is>
          <t>battery</t>
        </is>
      </c>
      <c r="E61" t="inlineStr">
        <is>
          <t>eam</t>
        </is>
      </c>
      <c r="F61" t="n">
        <v>1</v>
      </c>
      <c r="G61" t="inlineStr">
        <is>
          <t>under construction</t>
        </is>
      </c>
      <c r="H61" t="n">
        <v>60000</v>
      </c>
      <c r="I61" t="n">
        <v>60000</v>
      </c>
      <c r="J61" t="n">
        <v>800000000</v>
      </c>
      <c r="K61" t="n">
        <v>800000000</v>
      </c>
      <c r="L61" t="b">
        <v>0</v>
      </c>
      <c r="M61" t="inlineStr">
        <is>
          <t>2023-08</t>
        </is>
      </c>
      <c r="N61" t="inlineStr">
        <is>
          <t>2025-03</t>
        </is>
      </c>
      <c r="O61" t="inlineStr">
        <is>
          <t>2028-03</t>
        </is>
      </c>
      <c r="P61" t="b">
        <v>0</v>
      </c>
      <c r="Q61" t="b">
        <v>0</v>
      </c>
      <c r="R61" t="b">
        <v>1</v>
      </c>
      <c r="S61">
        <f>HYPERLINK("https://www.electrive.com/2025/09/01/finnish-state-takes-control-of-valmet-and-ioncor/", "source")</f>
        <v/>
      </c>
      <c r="T61">
        <f>HYPERLINK("https://www.mineralsgroup.fi/topical/news/the-groundbreaking-ceremony-of-finlands-first-cathode-active-material-plant-was-held-in-kotka.html", "source")</f>
        <v/>
      </c>
      <c r="U61">
        <f>HYPERLINK("https://www.electrive.com/2025/09/01/finnish-state-takes-control-of-valmet-and-ioncor/", "source")</f>
        <v/>
      </c>
      <c r="V61">
        <f>HYPERLINK("https://www.electrive.com/2023/08/02/finnish-minerals-plans-cathode-materials-production/", "source")</f>
        <v/>
      </c>
      <c r="W61">
        <f>HYPERLINK("https://www.electrive.com/2025/03/20/finnish-minerals-beijing-easpring-to-build-cam-plant-in-finland/", "source")</f>
        <v/>
      </c>
      <c r="X61" t="inlineStr"/>
      <c r="Y61" t="inlineStr">
        <is>
          <t>763e00ac-5262-5c96-85e8-23e281317e88</t>
        </is>
      </c>
    </row>
    <row r="62">
      <c r="A62" t="inlineStr">
        <is>
          <t>finnish minerals group epsilon advanced materials</t>
        </is>
      </c>
      <c r="B62" t="inlineStr">
        <is>
          <t>FI</t>
        </is>
      </c>
      <c r="C62" t="inlineStr">
        <is>
          <t>Vaasa</t>
        </is>
      </c>
      <c r="D62" t="inlineStr">
        <is>
          <t>battery</t>
        </is>
      </c>
      <c r="E62" t="inlineStr">
        <is>
          <t>eam</t>
        </is>
      </c>
      <c r="F62" t="n">
        <v>1</v>
      </c>
      <c r="G62" t="inlineStr">
        <is>
          <t>announced</t>
        </is>
      </c>
      <c r="H62" t="n">
        <v>50000</v>
      </c>
      <c r="I62" t="n">
        <v>50000</v>
      </c>
      <c r="J62" t="inlineStr"/>
      <c r="K62" t="inlineStr"/>
      <c r="L62" t="b">
        <v>0</v>
      </c>
      <c r="M62" t="inlineStr">
        <is>
          <t>2022-11</t>
        </is>
      </c>
      <c r="N62" t="inlineStr"/>
      <c r="O62" t="inlineStr"/>
      <c r="P62" t="b">
        <v>0</v>
      </c>
      <c r="Q62" t="b">
        <v>0</v>
      </c>
      <c r="R62" t="b">
        <v>0</v>
      </c>
      <c r="S62">
        <f>HYPERLINK("https://www.electrive.com/2022/11/29/keliber-to-mine-and-refine-lithium-in-finland/", "source")</f>
        <v/>
      </c>
      <c r="T62">
        <f>HYPERLINK("https://www.electrive.com/2022/11/29/keliber-to-mine-and-refine-lithium-in-finland/", "source")</f>
        <v/>
      </c>
      <c r="U62" t="inlineStr"/>
      <c r="V62">
        <f>HYPERLINK("https://www.electrive.com/2022/11/29/keliber-to-mine-and-refine-lithium-in-finland/", "source")</f>
        <v/>
      </c>
      <c r="W62" t="inlineStr"/>
      <c r="X62" t="inlineStr"/>
      <c r="Y62" t="inlineStr">
        <is>
          <t>28c24744-d992-5387-a2ca-b8f161107d52</t>
        </is>
      </c>
    </row>
    <row r="63">
      <c r="A63" t="inlineStr">
        <is>
          <t>ford</t>
        </is>
      </c>
      <c r="B63" t="inlineStr">
        <is>
          <t>DE</t>
        </is>
      </c>
      <c r="C63" t="inlineStr">
        <is>
          <t>Cologne</t>
        </is>
      </c>
      <c r="D63" t="inlineStr">
        <is>
          <t>battery</t>
        </is>
      </c>
      <c r="E63" t="inlineStr">
        <is>
          <t>module_pack</t>
        </is>
      </c>
      <c r="F63" t="n">
        <v>1</v>
      </c>
      <c r="G63" t="inlineStr">
        <is>
          <t>operational</t>
        </is>
      </c>
      <c r="H63" t="n">
        <v>12.5</v>
      </c>
      <c r="I63" t="n">
        <v>12.5</v>
      </c>
      <c r="J63" t="n">
        <v>373936618</v>
      </c>
      <c r="K63" t="n">
        <v>373936618</v>
      </c>
      <c r="L63" t="b">
        <v>0</v>
      </c>
      <c r="M63" t="inlineStr">
        <is>
          <t>2020-06</t>
        </is>
      </c>
      <c r="N63" t="inlineStr">
        <is>
          <t>2020-06</t>
        </is>
      </c>
      <c r="O63" t="inlineStr">
        <is>
          <t>2023-06</t>
        </is>
      </c>
      <c r="P63" t="b">
        <v>1</v>
      </c>
      <c r="Q63" t="b">
        <v>1</v>
      </c>
      <c r="R63" t="b">
        <v>0</v>
      </c>
      <c r="S63">
        <f>HYPERLINK("https://www.just-auto.com/news/ford-opens-cologne-ev-manufacturing-centre/", "source")</f>
        <v/>
      </c>
      <c r="T63">
        <f>HYPERLINK("https://www.just-auto.com/news/ford-opens-cologne-ev-manufacturing-centre/", "source")</f>
        <v/>
      </c>
      <c r="U63">
        <f>HYPERLINK("https://www.just-auto.com/news/ford-opens-cologne-ev-manufacturing-centre/", "source")</f>
        <v/>
      </c>
      <c r="V63" t="inlineStr"/>
      <c r="W63" t="inlineStr"/>
      <c r="X63">
        <f>HYPERLINK("https://www.just-auto.com/news/ford-opens-cologne-ev-manufacturing-centre/", "source")</f>
        <v/>
      </c>
      <c r="Y63" t="inlineStr">
        <is>
          <t>afcb1f1e-e0cc-56f8-93af-11ab160a0456</t>
        </is>
      </c>
    </row>
    <row r="64">
      <c r="A64" t="inlineStr">
        <is>
          <t>ford</t>
        </is>
      </c>
      <c r="B64" t="inlineStr">
        <is>
          <t>ES</t>
        </is>
      </c>
      <c r="C64" t="inlineStr">
        <is>
          <t>Almussafes</t>
        </is>
      </c>
      <c r="D64" t="inlineStr">
        <is>
          <t>battery</t>
        </is>
      </c>
      <c r="E64" t="inlineStr">
        <is>
          <t>cell, module_pack</t>
        </is>
      </c>
      <c r="F64" t="n">
        <v>1</v>
      </c>
      <c r="G64" t="inlineStr">
        <is>
          <t>announced</t>
        </is>
      </c>
      <c r="H64" t="inlineStr"/>
      <c r="I64" t="inlineStr"/>
      <c r="J64" t="n">
        <v>5200000</v>
      </c>
      <c r="K64" t="n">
        <v>5200000</v>
      </c>
      <c r="L64" t="b">
        <v>0</v>
      </c>
      <c r="M64" t="inlineStr">
        <is>
          <t>2021-04</t>
        </is>
      </c>
      <c r="N64" t="inlineStr"/>
      <c r="O64" t="inlineStr"/>
      <c r="P64" t="b">
        <v>0</v>
      </c>
      <c r="Q64" t="b">
        <v>0</v>
      </c>
      <c r="R64" t="b">
        <v>0</v>
      </c>
      <c r="S64">
        <f>HYPERLINK("https://www.investinspain.org/content/icex-invest/en/noticias-main/2021/ford-valencia-plant.html?utm_source=chatgpt.com", "source")</f>
        <v/>
      </c>
      <c r="T64" t="inlineStr"/>
      <c r="U64">
        <f>HYPERLINK("https://www.investinspain.org/content/icex-invest/en/noticias-main/2021/ford-valencia-plant.html?utm_source=chatgpt.com", "source")</f>
        <v/>
      </c>
      <c r="V64">
        <f>HYPERLINK("https://www.investinspain.org/content/icex-invest/en/noticias-main/2021/ford-valencia-plant.html?utm_source=chatgpt.com", "source")</f>
        <v/>
      </c>
      <c r="W64" t="inlineStr"/>
      <c r="X64" t="inlineStr"/>
      <c r="Y64" t="inlineStr">
        <is>
          <t>b39dd119-4e29-5ef3-881a-6884094b236a</t>
        </is>
      </c>
    </row>
    <row r="65">
      <c r="A65" t="inlineStr">
        <is>
          <t>ford</t>
        </is>
      </c>
      <c r="B65" t="inlineStr">
        <is>
          <t>ES</t>
        </is>
      </c>
      <c r="C65" t="inlineStr">
        <is>
          <t>Valencia</t>
        </is>
      </c>
      <c r="D65" t="inlineStr">
        <is>
          <t>battery</t>
        </is>
      </c>
      <c r="E65" t="inlineStr">
        <is>
          <t>module_pack</t>
        </is>
      </c>
      <c r="F65" t="n">
        <v>1</v>
      </c>
      <c r="G65" t="inlineStr">
        <is>
          <t>announced</t>
        </is>
      </c>
      <c r="H65" t="inlineStr"/>
      <c r="I65" t="inlineStr"/>
      <c r="J65" t="n">
        <v>24000000</v>
      </c>
      <c r="K65" t="n">
        <v>24000000</v>
      </c>
      <c r="L65" t="b">
        <v>0</v>
      </c>
      <c r="M65" t="inlineStr">
        <is>
          <t>2021-03</t>
        </is>
      </c>
      <c r="N65" t="inlineStr"/>
      <c r="O65" t="inlineStr"/>
      <c r="P65" t="b">
        <v>0</v>
      </c>
      <c r="Q65" t="b">
        <v>0</v>
      </c>
      <c r="R65" t="b">
        <v>0</v>
      </c>
      <c r="S65">
        <f>HYPERLINK("https://www.electrive.com/2021/03/25/ford-invests-in-valencia-hybrid-powertrain-plant/", "source")</f>
        <v/>
      </c>
      <c r="T65" t="inlineStr"/>
      <c r="U65">
        <f>HYPERLINK("https://media.ford.com/content/fordmedia/feu/en/news/2020/01/16/Valencia.html?utm_source=chatgpt.com", "source")</f>
        <v/>
      </c>
      <c r="V65">
        <f>HYPERLINK("https://www.electrive.com/2021/03/25/ford-invests-in-valencia-hybrid-powertrain-plant/", "source")</f>
        <v/>
      </c>
      <c r="W65" t="inlineStr"/>
      <c r="X65" t="inlineStr"/>
      <c r="Y65" t="inlineStr">
        <is>
          <t>b7fd0e13-2af9-5a98-a2ab-0dafffb51731</t>
        </is>
      </c>
    </row>
    <row r="66">
      <c r="A66" t="inlineStr">
        <is>
          <t>forsee power</t>
        </is>
      </c>
      <c r="B66" t="inlineStr">
        <is>
          <t>FR</t>
        </is>
      </c>
      <c r="C66" t="inlineStr">
        <is>
          <t>Poitiers</t>
        </is>
      </c>
      <c r="D66" t="inlineStr">
        <is>
          <t>battery</t>
        </is>
      </c>
      <c r="E66" t="inlineStr">
        <is>
          <t>module_pack</t>
        </is>
      </c>
      <c r="F66" t="n">
        <v>1</v>
      </c>
      <c r="G66" t="inlineStr">
        <is>
          <t>operational</t>
        </is>
      </c>
      <c r="H66" t="n">
        <v>1</v>
      </c>
      <c r="I66" t="n">
        <v>1</v>
      </c>
      <c r="J66" t="n">
        <v>40000000</v>
      </c>
      <c r="K66" t="n">
        <v>40000000</v>
      </c>
      <c r="L66" t="b">
        <v>1</v>
      </c>
      <c r="M66" t="inlineStr">
        <is>
          <t>2020-03</t>
        </is>
      </c>
      <c r="N66" t="inlineStr">
        <is>
          <t>2020-03</t>
        </is>
      </c>
      <c r="O66" t="inlineStr">
        <is>
          <t>2023-03</t>
        </is>
      </c>
      <c r="P66" t="b">
        <v>1</v>
      </c>
      <c r="Q66" t="b">
        <v>1</v>
      </c>
      <c r="R66" t="b">
        <v>0</v>
      </c>
      <c r="S66">
        <f>HYPERLINK("https://www.electrive.com/2023/03/20/forsee-power-blue-solutions-and-bluebus-cooperate-on-new-battery-system/", "source")</f>
        <v/>
      </c>
      <c r="T66">
        <f>HYPERLINK("https://www.electrive.com/2023/03/20/forsee-power-blue-solutions-and-bluebus-cooperate-on-new-battery-system/", "source")</f>
        <v/>
      </c>
      <c r="U66">
        <f>HYPERLINK("https://www.electrive.com/2023/03/20/forsee-power-blue-solutions-and-bluebus-cooperate-on-new-battery-system/", "source")</f>
        <v/>
      </c>
      <c r="V66" t="inlineStr"/>
      <c r="W66" t="inlineStr"/>
      <c r="X66">
        <f>HYPERLINK("https://www.electrive.com/2023/03/20/forsee-power-blue-solutions-and-bluebus-cooperate-on-new-battery-system/", "source")</f>
        <v/>
      </c>
      <c r="Y66" t="inlineStr">
        <is>
          <t>7f33e673-6fc3-5bba-84a6-5e973aeeccbe</t>
        </is>
      </c>
    </row>
    <row r="67">
      <c r="A67" t="inlineStr">
        <is>
          <t>forsee power</t>
        </is>
      </c>
      <c r="B67" t="inlineStr">
        <is>
          <t>FR</t>
        </is>
      </c>
      <c r="C67" t="inlineStr">
        <is>
          <t>Poitiers</t>
        </is>
      </c>
      <c r="D67" t="inlineStr">
        <is>
          <t>battery</t>
        </is>
      </c>
      <c r="E67" t="inlineStr">
        <is>
          <t>module_pack</t>
        </is>
      </c>
      <c r="F67" t="n">
        <v>2</v>
      </c>
      <c r="G67" t="inlineStr">
        <is>
          <t>announced</t>
        </is>
      </c>
      <c r="H67" t="n">
        <v>3</v>
      </c>
      <c r="I67" t="n">
        <v>4</v>
      </c>
      <c r="J67" t="n">
        <v>120000000</v>
      </c>
      <c r="K67" t="n">
        <v>160000000</v>
      </c>
      <c r="L67" t="b">
        <v>1</v>
      </c>
      <c r="M67" t="inlineStr">
        <is>
          <t>2022-05</t>
        </is>
      </c>
      <c r="N67" t="inlineStr"/>
      <c r="O67" t="inlineStr"/>
      <c r="P67" t="b">
        <v>0</v>
      </c>
      <c r="Q67" t="b">
        <v>0</v>
      </c>
      <c r="R67" t="b">
        <v>0</v>
      </c>
      <c r="S67">
        <f>HYPERLINK("https://www.electrive.com/2023/03/20/forsee-power-blue-solutions-and-bluebus-cooperate-on-new-battery-system/", "source")</f>
        <v/>
      </c>
      <c r="T67">
        <f>HYPERLINK("https://www.electrive.com/2023/03/20/forsee-power-blue-solutions-and-bluebus-cooperate-on-new-battery-system/", "source")</f>
        <v/>
      </c>
      <c r="U67">
        <f>HYPERLINK("https://www.electrive.com/2023/03/20/forsee-power-blue-solutions-and-bluebus-cooperate-on-new-battery-system/", "source")</f>
        <v/>
      </c>
      <c r="V67">
        <f>HYPERLINK("https://www.electrive.com/2022/05/13/forsee-power-opens-battery-assembly-in-france/", "source")</f>
        <v/>
      </c>
      <c r="W67" t="inlineStr"/>
      <c r="X67" t="inlineStr"/>
      <c r="Y67" t="inlineStr">
        <is>
          <t>7f33e673-6fc3-5bba-84a6-5e973aeeccbe</t>
        </is>
      </c>
    </row>
    <row r="68">
      <c r="A68" t="inlineStr">
        <is>
          <t>fpt industrial</t>
        </is>
      </c>
      <c r="B68" t="inlineStr">
        <is>
          <t>IT</t>
        </is>
      </c>
      <c r="C68" t="inlineStr">
        <is>
          <t>Torino</t>
        </is>
      </c>
      <c r="D68" t="inlineStr">
        <is>
          <t>battery</t>
        </is>
      </c>
      <c r="E68" t="inlineStr">
        <is>
          <t>module_pack</t>
        </is>
      </c>
      <c r="F68" t="n">
        <v>1</v>
      </c>
      <c r="G68" t="inlineStr">
        <is>
          <t>operational</t>
        </is>
      </c>
      <c r="H68" t="n">
        <v>1</v>
      </c>
      <c r="I68" t="n">
        <v>1</v>
      </c>
      <c r="J68" t="n">
        <v>40000000</v>
      </c>
      <c r="K68" t="n">
        <v>40000000</v>
      </c>
      <c r="L68" t="b">
        <v>1</v>
      </c>
      <c r="M68" t="inlineStr">
        <is>
          <t>2019-10</t>
        </is>
      </c>
      <c r="N68" t="inlineStr">
        <is>
          <t>2019-10</t>
        </is>
      </c>
      <c r="O68" t="inlineStr">
        <is>
          <t>2022-10</t>
        </is>
      </c>
      <c r="P68" t="b">
        <v>1</v>
      </c>
      <c r="Q68" t="b">
        <v>1</v>
      </c>
      <c r="R68" t="b">
        <v>0</v>
      </c>
      <c r="S68">
        <f>HYPERLINK("https://www.just-auto.com/news/iveco-opens-new-epowertrain-plant/", "source")</f>
        <v/>
      </c>
      <c r="T68">
        <f>HYPERLINK("https://www.just-auto.com/news/iveco-opens-new-epowertrain-plant/", "source")</f>
        <v/>
      </c>
      <c r="U68">
        <f>HYPERLINK("https://www.just-auto.com/news/iveco-opens-new-epowertrain-plant/", "source")</f>
        <v/>
      </c>
      <c r="V68" t="inlineStr"/>
      <c r="W68" t="inlineStr"/>
      <c r="X68">
        <f>HYPERLINK("https://www.just-auto.com/news/iveco-opens-new-epowertrain-plant/", "source")</f>
        <v/>
      </c>
      <c r="Y68" t="inlineStr">
        <is>
          <t>f10414ea-29c3-5641-869e-9e5c5864b513</t>
        </is>
      </c>
    </row>
    <row r="69">
      <c r="A69" t="inlineStr">
        <is>
          <t>freyr</t>
        </is>
      </c>
      <c r="B69" t="inlineStr">
        <is>
          <t>FI</t>
        </is>
      </c>
      <c r="C69" t="inlineStr">
        <is>
          <t>Vaasa</t>
        </is>
      </c>
      <c r="D69" t="inlineStr">
        <is>
          <t>battery</t>
        </is>
      </c>
      <c r="E69" t="inlineStr">
        <is>
          <t>eam</t>
        </is>
      </c>
      <c r="F69" t="n">
        <v>1</v>
      </c>
      <c r="G69" t="inlineStr">
        <is>
          <t>announced</t>
        </is>
      </c>
      <c r="H69" t="n">
        <v>30000</v>
      </c>
      <c r="I69" t="n">
        <v>30000</v>
      </c>
      <c r="J69" t="inlineStr"/>
      <c r="K69" t="inlineStr"/>
      <c r="L69" t="b">
        <v>0</v>
      </c>
      <c r="M69" t="inlineStr">
        <is>
          <t>2024-10</t>
        </is>
      </c>
      <c r="N69" t="inlineStr"/>
      <c r="O69" t="inlineStr"/>
      <c r="P69" t="b">
        <v>0</v>
      </c>
      <c r="Q69" t="b">
        <v>0</v>
      </c>
      <c r="R69" t="b">
        <v>0</v>
      </c>
      <c r="S69">
        <f>HYPERLINK("https://www.electrive.com/2024/10/29/freyr-battery-expects-e122-million-grant-from-the-eu/", "source")</f>
        <v/>
      </c>
      <c r="T69">
        <f>HYPERLINK("https://www.electrive.com/2024/10/29/freyr-battery-expects-e122-million-grant-from-the-eu/", "source")</f>
        <v/>
      </c>
      <c r="U69" t="inlineStr"/>
      <c r="V69">
        <f>HYPERLINK("https://www.electrive.com/2024/10/29/freyr-battery-expects-e122-million-grant-from-the-eu/", "source")</f>
        <v/>
      </c>
      <c r="W69" t="inlineStr"/>
      <c r="X69" t="inlineStr"/>
      <c r="Y69" t="inlineStr">
        <is>
          <t>5b4de220-13b6-533e-bf7f-acd040d95d17</t>
        </is>
      </c>
    </row>
    <row r="70">
      <c r="A70" t="inlineStr">
        <is>
          <t>freyr</t>
        </is>
      </c>
      <c r="B70" t="inlineStr">
        <is>
          <t>NO</t>
        </is>
      </c>
      <c r="C70" t="inlineStr">
        <is>
          <t>Nordland</t>
        </is>
      </c>
      <c r="D70" t="inlineStr">
        <is>
          <t>battery</t>
        </is>
      </c>
      <c r="E70" t="inlineStr">
        <is>
          <t>cell, eam</t>
        </is>
      </c>
      <c r="F70" t="n">
        <v>1</v>
      </c>
      <c r="G70" t="inlineStr">
        <is>
          <t>operational</t>
        </is>
      </c>
      <c r="H70" t="inlineStr"/>
      <c r="I70" t="inlineStr"/>
      <c r="J70" t="n">
        <v>1553880817</v>
      </c>
      <c r="K70" t="n">
        <v>1553880817</v>
      </c>
      <c r="L70" t="b">
        <v>0</v>
      </c>
      <c r="M70" t="inlineStr">
        <is>
          <t>2019-08</t>
        </is>
      </c>
      <c r="N70" t="inlineStr">
        <is>
          <t>2022-11</t>
        </is>
      </c>
      <c r="O70" t="inlineStr">
        <is>
          <t>2024-08</t>
        </is>
      </c>
      <c r="P70" t="b">
        <v>0</v>
      </c>
      <c r="Q70" t="b">
        <v>0</v>
      </c>
      <c r="R70" t="b">
        <v>0</v>
      </c>
      <c r="S70">
        <f>HYPERLINK("https://www.highnorthnews.com/en/freyr-stops-battery-production-and-lays-employees", "source")</f>
        <v/>
      </c>
      <c r="T70">
        <f>HYPERLINK("https://www.highnorthnews.com/en/freyr-stops-battery-production-and-lays-employees", "source")</f>
        <v/>
      </c>
      <c r="U70">
        <f>HYPERLINK("https://www.electrive.com/2019/08/20/battery-making-startup-freyr-to-build-gigawatt-factories/", "source")</f>
        <v/>
      </c>
      <c r="V70">
        <f>HYPERLINK("https://www.electrive.com/2019/08/20/battery-making-startup-freyr-to-build-gigawatt-factories/", "source")</f>
        <v/>
      </c>
      <c r="W70">
        <f>HYPERLINK("https://www.electrive.com/2022/11/14/freyr-purchases-land-in-georgia-for-battery-plant/", "source")</f>
        <v/>
      </c>
      <c r="X70">
        <f>HYPERLINK("https://www.highnorthnews.com/en/freyr-stops-battery-production-and-lays-employees", "source")</f>
        <v/>
      </c>
      <c r="Y70" t="inlineStr">
        <is>
          <t>23182ec1-3e26-523c-859f-d4d909bbd498</t>
        </is>
      </c>
    </row>
    <row r="71">
      <c r="A71" t="inlineStr">
        <is>
          <t>freyr</t>
        </is>
      </c>
      <c r="B71" t="inlineStr">
        <is>
          <t>NO</t>
        </is>
      </c>
      <c r="C71" t="inlineStr">
        <is>
          <t>Nordland</t>
        </is>
      </c>
      <c r="D71" t="inlineStr">
        <is>
          <t>battery</t>
        </is>
      </c>
      <c r="E71" t="inlineStr">
        <is>
          <t>cell, eam</t>
        </is>
      </c>
      <c r="F71" t="n">
        <v>2</v>
      </c>
      <c r="G71" t="inlineStr">
        <is>
          <t>under construction</t>
        </is>
      </c>
      <c r="H71" t="inlineStr"/>
      <c r="I71" t="n">
        <v>29</v>
      </c>
      <c r="J71" t="n">
        <v>0</v>
      </c>
      <c r="K71" t="n">
        <v>1493651979</v>
      </c>
      <c r="L71" t="b">
        <v>0</v>
      </c>
      <c r="M71" t="inlineStr">
        <is>
          <t>2019-08</t>
        </is>
      </c>
      <c r="N71" t="inlineStr">
        <is>
          <t>2021-10</t>
        </is>
      </c>
      <c r="O71" t="inlineStr">
        <is>
          <t>2024-10</t>
        </is>
      </c>
      <c r="P71" t="b">
        <v>0</v>
      </c>
      <c r="Q71" t="b">
        <v>0</v>
      </c>
      <c r="R71" t="b">
        <v>1</v>
      </c>
      <c r="S71">
        <f>HYPERLINK("https://www.electrive.com/2022/11/14/freyr-purchases-land-in-georgia-for-battery-plant/", "source")</f>
        <v/>
      </c>
      <c r="T71">
        <f>HYPERLINK("https://www.electrive.com/2022/11/14/freyr-purchases-land-in-georgia-for-battery-plant/", "source")</f>
        <v/>
      </c>
      <c r="U71">
        <f>HYPERLINK("https://www.electrive.com/2022/06/29/freyr-board-approves-first-battery-cell-factory/", "source")</f>
        <v/>
      </c>
      <c r="V71">
        <f>HYPERLINK("https://www.electrive.com/2019/08/20/battery-making-startup-freyr-to-build-gigawatt-factories/", "source")</f>
        <v/>
      </c>
      <c r="W71">
        <f>HYPERLINK("https://www.electrive.com/2021/10/13/freyr-announces-joint-venture-with-koch-strategic-platforms/", "source")</f>
        <v/>
      </c>
      <c r="X71" t="inlineStr"/>
      <c r="Y71" t="inlineStr">
        <is>
          <t>23182ec1-3e26-523c-859f-d4d909bbd498</t>
        </is>
      </c>
    </row>
    <row r="72">
      <c r="A72" t="inlineStr">
        <is>
          <t>gotion high tech</t>
        </is>
      </c>
      <c r="B72" t="inlineStr">
        <is>
          <t>DE</t>
        </is>
      </c>
      <c r="C72" t="inlineStr">
        <is>
          <t>Göttingen</t>
        </is>
      </c>
      <c r="D72" t="inlineStr">
        <is>
          <t>battery</t>
        </is>
      </c>
      <c r="E72" t="inlineStr">
        <is>
          <t>module_pack</t>
        </is>
      </c>
      <c r="F72" t="n">
        <v>1</v>
      </c>
      <c r="G72" t="inlineStr">
        <is>
          <t>operational</t>
        </is>
      </c>
      <c r="H72" t="n">
        <v>0.005</v>
      </c>
      <c r="I72" t="n">
        <v>0.005</v>
      </c>
      <c r="J72" t="n">
        <v>200000</v>
      </c>
      <c r="K72" t="n">
        <v>200000</v>
      </c>
      <c r="L72" t="b">
        <v>1</v>
      </c>
      <c r="M72" t="inlineStr">
        <is>
          <t>2022-06</t>
        </is>
      </c>
      <c r="N72" t="inlineStr">
        <is>
          <t>2022-06</t>
        </is>
      </c>
      <c r="O72" t="inlineStr">
        <is>
          <t>2023-09</t>
        </is>
      </c>
      <c r="P72" t="b">
        <v>0</v>
      </c>
      <c r="Q72" t="b">
        <v>1</v>
      </c>
      <c r="R72" t="b">
        <v>0</v>
      </c>
      <c r="S72">
        <f>HYPERLINK("https://www.energy-storage.news/gotion-starts-manufacturing-5mwh-bess-in-germany-following-key-certifications/", "source")</f>
        <v/>
      </c>
      <c r="T72">
        <f>HYPERLINK("https://www.energy-storage.news/gotion-starts-manufacturing-5mwh-bess-in-germany-following-key-certifications/", "source")</f>
        <v/>
      </c>
      <c r="U72">
        <f>HYPERLINK("https://www.energy-storage.news/gotion-starts-manufacturing-5mwh-bess-in-germany-following-key-certifications/", "source")</f>
        <v/>
      </c>
      <c r="V72">
        <f>HYPERLINK("https://www.prnewswire.com/in/news-releases/gotion-high-tech-intends-to-invest-in-a-production-base-in-europe-with-an-annual-production-capacity-of-18gwh-854013665.html?utm_source=chatgpt.com", "source")</f>
        <v/>
      </c>
      <c r="W72" t="inlineStr"/>
      <c r="X72">
        <f>HYPERLINK("https://www.electrive.com/2023/09/18/gotion-high-tech-launches-battery-production-in-germany/", "source")</f>
        <v/>
      </c>
      <c r="Y72" t="inlineStr">
        <is>
          <t>58f06bc0-ce26-5997-a430-b3d0afb56368</t>
        </is>
      </c>
    </row>
    <row r="73">
      <c r="A73" t="inlineStr">
        <is>
          <t>gotion high tech</t>
        </is>
      </c>
      <c r="B73" t="inlineStr">
        <is>
          <t>DE</t>
        </is>
      </c>
      <c r="C73" t="inlineStr">
        <is>
          <t>Göttingen</t>
        </is>
      </c>
      <c r="D73" t="inlineStr">
        <is>
          <t>battery</t>
        </is>
      </c>
      <c r="E73" t="inlineStr">
        <is>
          <t>module_pack</t>
        </is>
      </c>
      <c r="F73" t="n">
        <v>2</v>
      </c>
      <c r="G73" t="inlineStr">
        <is>
          <t>operational</t>
        </is>
      </c>
      <c r="H73" t="n">
        <v>4.995</v>
      </c>
      <c r="I73" t="n">
        <v>5</v>
      </c>
      <c r="J73" t="n">
        <v>199800000</v>
      </c>
      <c r="K73" t="n">
        <v>200000000</v>
      </c>
      <c r="L73" t="b">
        <v>1</v>
      </c>
      <c r="M73" t="inlineStr">
        <is>
          <t>2022-06</t>
        </is>
      </c>
      <c r="N73" t="inlineStr">
        <is>
          <t>2022-06</t>
        </is>
      </c>
      <c r="O73" t="inlineStr">
        <is>
          <t>2023-09</t>
        </is>
      </c>
      <c r="P73" t="b">
        <v>0</v>
      </c>
      <c r="Q73" t="b">
        <v>1</v>
      </c>
      <c r="R73" t="b">
        <v>0</v>
      </c>
      <c r="S73">
        <f>HYPERLINK("https://evmagz.com/gotion-high-techs-first-european-battery-plant-in-germany-begins-production", "source")</f>
        <v/>
      </c>
      <c r="T73">
        <f>HYPERLINK("https://evmagz.com/gotion-high-techs-first-european-battery-plant-in-germany-begins-production", "source")</f>
        <v/>
      </c>
      <c r="U73">
        <f>HYPERLINK("https://evmagz.com/gotion-high-techs-first-european-battery-plant-in-germany-begins-production", "source")</f>
        <v/>
      </c>
      <c r="V73">
        <f>HYPERLINK("https://www.prnewswire.com/in/news-releases/gotion-high-tech-intends-to-invest-in-a-production-base-in-europe-with-an-annual-production-capacity-of-18gwh-854013665.html?utm_source=chatgpt.com", "source")</f>
        <v/>
      </c>
      <c r="W73" t="inlineStr"/>
      <c r="X73">
        <f>HYPERLINK("https://evmagz.com/gotion-high-techs-first-european-battery-plant-in-germany-begins-production", "source")</f>
        <v/>
      </c>
      <c r="Y73" t="inlineStr">
        <is>
          <t>58f06bc0-ce26-5997-a430-b3d0afb56368</t>
        </is>
      </c>
    </row>
    <row r="74">
      <c r="A74" t="inlineStr">
        <is>
          <t>gotion inobat batteries</t>
        </is>
      </c>
      <c r="B74" t="inlineStr">
        <is>
          <t>SK</t>
        </is>
      </c>
      <c r="C74" t="inlineStr">
        <is>
          <t>Nitra Region</t>
        </is>
      </c>
      <c r="D74" t="inlineStr">
        <is>
          <t>battery</t>
        </is>
      </c>
      <c r="E74" t="inlineStr">
        <is>
          <t>cell</t>
        </is>
      </c>
      <c r="F74" t="n">
        <v>1</v>
      </c>
      <c r="G74" t="inlineStr">
        <is>
          <t>under construction</t>
        </is>
      </c>
      <c r="H74" t="n">
        <v>20</v>
      </c>
      <c r="I74" t="n">
        <v>20</v>
      </c>
      <c r="J74" t="n">
        <v>1230000000</v>
      </c>
      <c r="K74" t="n">
        <v>1230000000</v>
      </c>
      <c r="L74" t="b">
        <v>0</v>
      </c>
      <c r="M74" t="inlineStr">
        <is>
          <t>2023-11</t>
        </is>
      </c>
      <c r="N74" t="inlineStr">
        <is>
          <t>2024-12</t>
        </is>
      </c>
      <c r="O74" t="inlineStr">
        <is>
          <t>2027-12</t>
        </is>
      </c>
      <c r="P74" t="b">
        <v>0</v>
      </c>
      <c r="Q74" t="b">
        <v>0</v>
      </c>
      <c r="R74" t="b">
        <v>1</v>
      </c>
      <c r="S74">
        <f>HYPERLINK("https://www.electrive.com/2024/12/13/gotion-approves-billion-euro-investment-for-cell-plants-in-slovakia-and-morocco/", "source")</f>
        <v/>
      </c>
      <c r="T74">
        <f>HYPERLINK("https://www.electrive.com/2024/12/13/gotion-approves-billion-euro-investment-for-cell-plants-in-slovakia-and-morocco/", "source")</f>
        <v/>
      </c>
      <c r="U74">
        <f>HYPERLINK("https://www.electrive.com/2024/12/13/gotion-approves-billion-euro-investment-for-cell-plants-in-slovakia-and-morocco/", "source")</f>
        <v/>
      </c>
      <c r="V74">
        <f>HYPERLINK("https://www.electrive.com/2023/11/29/gotion-and-inobat-planning-battery-factory-in-slovakia/", "source")</f>
        <v/>
      </c>
      <c r="W74">
        <f>HYPERLINK("https://www.electrive.com/2024/12/13/gotion-approves-billion-euro-investment-for-cell-plants-in-slovakia-and-morocco/", "source")</f>
        <v/>
      </c>
      <c r="X74" t="inlineStr"/>
      <c r="Y74" t="inlineStr">
        <is>
          <t>94cd0147-7c1a-50e7-9842-eb2576a33264</t>
        </is>
      </c>
    </row>
    <row r="75">
      <c r="A75" t="inlineStr">
        <is>
          <t>gotion inobat batteries</t>
        </is>
      </c>
      <c r="B75" t="inlineStr">
        <is>
          <t>SK</t>
        </is>
      </c>
      <c r="C75" t="inlineStr">
        <is>
          <t>Nitra Region</t>
        </is>
      </c>
      <c r="D75" t="inlineStr">
        <is>
          <t>battery</t>
        </is>
      </c>
      <c r="E75" t="inlineStr">
        <is>
          <t>cell</t>
        </is>
      </c>
      <c r="F75" t="n">
        <v>2</v>
      </c>
      <c r="G75" t="inlineStr">
        <is>
          <t>announced</t>
        </is>
      </c>
      <c r="H75" t="n">
        <v>40</v>
      </c>
      <c r="I75" t="n">
        <v>60</v>
      </c>
      <c r="J75" t="n">
        <v>2460000000</v>
      </c>
      <c r="K75" t="n">
        <v>3690000000</v>
      </c>
      <c r="L75" t="b">
        <v>1</v>
      </c>
      <c r="M75" t="inlineStr">
        <is>
          <t>2023-11</t>
        </is>
      </c>
      <c r="N75" t="inlineStr"/>
      <c r="O75" t="inlineStr"/>
      <c r="P75" t="b">
        <v>0</v>
      </c>
      <c r="Q75" t="b">
        <v>0</v>
      </c>
      <c r="R75" t="b">
        <v>0</v>
      </c>
      <c r="S75">
        <f>HYPERLINK("https://www.electrive.com/2024/12/13/gotion-approves-billion-euro-investment-for-cell-plants-in-slovakia-and-morocco/", "source")</f>
        <v/>
      </c>
      <c r="T75">
        <f>HYPERLINK("https://www.electrive.com/2024/12/13/gotion-approves-billion-euro-investment-for-cell-plants-in-slovakia-and-morocco/", "source")</f>
        <v/>
      </c>
      <c r="U75">
        <f>HYPERLINK("https://www.electrive.com/2024/12/13/gotion-approves-billion-euro-investment-for-cell-plants-in-slovakia-and-morocco/", "source")</f>
        <v/>
      </c>
      <c r="V75">
        <f>HYPERLINK("https://www.electrive.com/2023/11/29/gotion-and-inobat-planning-battery-factory-in-slovakia/", "source")</f>
        <v/>
      </c>
      <c r="W75" t="inlineStr"/>
      <c r="X75" t="inlineStr"/>
      <c r="Y75" t="inlineStr">
        <is>
          <t>94cd0147-7c1a-50e7-9842-eb2576a33264</t>
        </is>
      </c>
    </row>
    <row r="76">
      <c r="A76" t="inlineStr">
        <is>
          <t>green cell</t>
        </is>
      </c>
      <c r="B76" t="inlineStr">
        <is>
          <t>PL</t>
        </is>
      </c>
      <c r="C76" t="inlineStr">
        <is>
          <t>Gnojno</t>
        </is>
      </c>
      <c r="D76" t="inlineStr">
        <is>
          <t>battery</t>
        </is>
      </c>
      <c r="E76" t="inlineStr">
        <is>
          <t>module_pack</t>
        </is>
      </c>
      <c r="F76" t="n">
        <v>1</v>
      </c>
      <c r="G76" t="inlineStr">
        <is>
          <t>operational</t>
        </is>
      </c>
      <c r="H76" t="n">
        <v>2.5</v>
      </c>
      <c r="I76" t="n">
        <v>2.5</v>
      </c>
      <c r="J76" t="n">
        <v>2500000</v>
      </c>
      <c r="K76" t="n">
        <v>2500000</v>
      </c>
      <c r="L76" t="b">
        <v>0</v>
      </c>
      <c r="M76" t="inlineStr">
        <is>
          <t>2019-04</t>
        </is>
      </c>
      <c r="N76" t="inlineStr">
        <is>
          <t>2019-04</t>
        </is>
      </c>
      <c r="O76" t="inlineStr">
        <is>
          <t>2022-04</t>
        </is>
      </c>
      <c r="P76" t="b">
        <v>1</v>
      </c>
      <c r="Q76" t="b">
        <v>1</v>
      </c>
      <c r="R76" t="b">
        <v>0</v>
      </c>
      <c r="S76">
        <f>HYPERLINK("https://www.electrive.com/2022/04/04/green-cell-opens-plant-for-e-bike-batteries/", "source")</f>
        <v/>
      </c>
      <c r="T76">
        <f>HYPERLINK("https://www.electrive.com/2022/04/04/green-cell-opens-plant-for-e-bike-batteries/", "source")</f>
        <v/>
      </c>
      <c r="U76">
        <f>HYPERLINK("https://www.electrive.com/2022/04/04/green-cell-opens-plant-for-e-bike-batteries/", "source")</f>
        <v/>
      </c>
      <c r="V76" t="inlineStr"/>
      <c r="W76" t="inlineStr"/>
      <c r="X76">
        <f>HYPERLINK("https://www.electrive.com/2022/04/04/green-cell-opens-plant-for-e-bike-batteries/", "source")</f>
        <v/>
      </c>
      <c r="Y76" t="inlineStr">
        <is>
          <t>40aebf63-8365-5f6f-b1a3-0f38cbd09db4</t>
        </is>
      </c>
    </row>
    <row r="77">
      <c r="A77" t="inlineStr">
        <is>
          <t>huayou cobalt</t>
        </is>
      </c>
      <c r="B77" t="inlineStr">
        <is>
          <t>HU</t>
        </is>
      </c>
      <c r="C77" t="inlineStr">
        <is>
          <t>Komárom-Esztergom</t>
        </is>
      </c>
      <c r="D77" t="inlineStr">
        <is>
          <t>battery</t>
        </is>
      </c>
      <c r="E77" t="inlineStr">
        <is>
          <t>eam</t>
        </is>
      </c>
      <c r="F77" t="n">
        <v>1</v>
      </c>
      <c r="G77" t="inlineStr">
        <is>
          <t>announced</t>
        </is>
      </c>
      <c r="H77" t="n">
        <v>100000</v>
      </c>
      <c r="I77" t="n">
        <v>100000</v>
      </c>
      <c r="J77" t="n">
        <v>1403811889</v>
      </c>
      <c r="K77" t="n">
        <v>1403811889</v>
      </c>
      <c r="L77" t="b">
        <v>0</v>
      </c>
      <c r="M77" t="inlineStr">
        <is>
          <t>2023-06</t>
        </is>
      </c>
      <c r="N77" t="inlineStr"/>
      <c r="O77" t="inlineStr"/>
      <c r="P77" t="b">
        <v>0</v>
      </c>
      <c r="Q77" t="b">
        <v>0</v>
      </c>
      <c r="R77" t="b">
        <v>0</v>
      </c>
      <c r="S77">
        <f>HYPERLINK("https://www.electrive.com/2023/06/23/huayou-cobalt-to-build-cathode-plant-in-hungary/", "source")</f>
        <v/>
      </c>
      <c r="T77">
        <f>HYPERLINK("https://www.electrive.com/2023/06/23/huayou-cobalt-to-build-cathode-plant-in-hungary/", "source")</f>
        <v/>
      </c>
      <c r="U77">
        <f>HYPERLINK("https://www.electrive.com/2023/06/23/huayou-cobalt-to-build-cathode-plant-in-hungary/", "source")</f>
        <v/>
      </c>
      <c r="V77">
        <f>HYPERLINK("https://www.electrive.com/2023/06/23/huayou-cobalt-to-build-cathode-plant-in-hungary/", "source")</f>
        <v/>
      </c>
      <c r="W77" t="inlineStr"/>
      <c r="X77" t="inlineStr"/>
      <c r="Y77" t="inlineStr">
        <is>
          <t>c76be28d-e0fa-5cc4-aa3e-2f81ca95d119</t>
        </is>
      </c>
    </row>
    <row r="78">
      <c r="A78" t="inlineStr">
        <is>
          <t>hyundai mobis</t>
        </is>
      </c>
      <c r="B78" t="inlineStr">
        <is>
          <t>ES</t>
        </is>
      </c>
      <c r="C78" t="inlineStr">
        <is>
          <t>Pamplona</t>
        </is>
      </c>
      <c r="D78" t="inlineStr">
        <is>
          <t>battery</t>
        </is>
      </c>
      <c r="E78" t="inlineStr">
        <is>
          <t>module_pack</t>
        </is>
      </c>
      <c r="F78" t="n">
        <v>1</v>
      </c>
      <c r="G78" t="inlineStr">
        <is>
          <t>under construction</t>
        </is>
      </c>
      <c r="H78" t="n">
        <v>18</v>
      </c>
      <c r="I78" t="n">
        <v>18</v>
      </c>
      <c r="J78" t="n">
        <v>120000000</v>
      </c>
      <c r="K78" t="n">
        <v>120000000</v>
      </c>
      <c r="L78" t="b">
        <v>0</v>
      </c>
      <c r="M78" t="inlineStr">
        <is>
          <t>2024-04</t>
        </is>
      </c>
      <c r="N78" t="inlineStr">
        <is>
          <t>2024-04</t>
        </is>
      </c>
      <c r="O78" t="inlineStr">
        <is>
          <t>2027-04</t>
        </is>
      </c>
      <c r="P78" t="b">
        <v>0</v>
      </c>
      <c r="Q78" t="b">
        <v>0</v>
      </c>
      <c r="R78" t="b">
        <v>1</v>
      </c>
      <c r="S78">
        <f>HYPERLINK("https://www.electrive.com/2024/04/24/hyundai-mobis-starts-building-battery-plant-for-vw-in-spain/", "source")</f>
        <v/>
      </c>
      <c r="T78">
        <f>HYPERLINK("https://www.electrive.com/2024/04/24/hyundai-mobis-starts-building-battery-plant-for-vw-in-spain/", "source")</f>
        <v/>
      </c>
      <c r="U78">
        <f>HYPERLINK("https://www.electrive.com/2024/04/24/hyundai-mobis-starts-building-battery-plant-for-vw-in-spain/", "source")</f>
        <v/>
      </c>
      <c r="V78">
        <f>HYPERLINK("https://www.electrive.com/2024/04/24/hyundai-mobis-starts-building-battery-plant-for-vw-in-spain/", "source")</f>
        <v/>
      </c>
      <c r="W78">
        <f>HYPERLINK("https://www.electrive.com/2024/04/24/hyundai-mobis-starts-building-battery-plant-for-vw-in-spain/", "source")</f>
        <v/>
      </c>
      <c r="X78" t="inlineStr"/>
      <c r="Y78" t="inlineStr">
        <is>
          <t>1ea964ce-d9ee-59a3-80be-88a85ac5a0e0</t>
        </is>
      </c>
    </row>
    <row r="79">
      <c r="A79" t="inlineStr">
        <is>
          <t>ilika</t>
        </is>
      </c>
      <c r="B79" t="inlineStr">
        <is>
          <t>GB</t>
        </is>
      </c>
      <c r="C79" t="inlineStr">
        <is>
          <t>Hampshire</t>
        </is>
      </c>
      <c r="D79" t="inlineStr">
        <is>
          <t>battery</t>
        </is>
      </c>
      <c r="E79" t="inlineStr">
        <is>
          <t>cell</t>
        </is>
      </c>
      <c r="F79" t="n">
        <v>1</v>
      </c>
      <c r="G79" t="inlineStr">
        <is>
          <t>announced</t>
        </is>
      </c>
      <c r="H79" t="n">
        <v>0.00052</v>
      </c>
      <c r="I79" t="n">
        <v>0.00052</v>
      </c>
      <c r="J79" t="n">
        <v>41599.99999999999</v>
      </c>
      <c r="K79" t="n">
        <v>41599.99999999999</v>
      </c>
      <c r="L79" t="b">
        <v>1</v>
      </c>
      <c r="M79" t="inlineStr">
        <is>
          <t>2020-11</t>
        </is>
      </c>
      <c r="N79" t="inlineStr"/>
      <c r="O79" t="inlineStr"/>
      <c r="P79" t="b">
        <v>0</v>
      </c>
      <c r="Q79" t="b">
        <v>0</v>
      </c>
      <c r="R79" t="b">
        <v>0</v>
      </c>
      <c r="S79">
        <f>HYPERLINK("https://www.electrive.com/2020/11/14/ilika-uk-battery-industrialisation-centre-sign-framework-agreement/", "source")</f>
        <v/>
      </c>
      <c r="T79">
        <f>HYPERLINK("https://www.electrive.com/2020/11/14/ilika-uk-battery-industrialisation-centre-sign-framework-agreement/", "source")</f>
        <v/>
      </c>
      <c r="U79">
        <f>HYPERLINK("https://www.electrive.com/2020/11/14/ilika-uk-battery-industrialisation-centre-sign-framework-agreement/", "source")</f>
        <v/>
      </c>
      <c r="V79">
        <f>HYPERLINK("https://www.electrive.com/2020/11/14/ilika-uk-battery-industrialisation-centre-sign-framework-agreement/", "source")</f>
        <v/>
      </c>
      <c r="W79" t="inlineStr"/>
      <c r="X79" t="inlineStr"/>
      <c r="Y79" t="inlineStr">
        <is>
          <t>44ee8c8a-f9ac-558e-be20-c92f8aed68c8</t>
        </is>
      </c>
    </row>
    <row r="80">
      <c r="A80" t="inlineStr">
        <is>
          <t>impact clean power technology</t>
        </is>
      </c>
      <c r="B80" t="inlineStr">
        <is>
          <t>PL</t>
        </is>
      </c>
      <c r="C80" t="inlineStr">
        <is>
          <t>Warsaw</t>
        </is>
      </c>
      <c r="D80" t="inlineStr">
        <is>
          <t>battery</t>
        </is>
      </c>
      <c r="E80" t="inlineStr">
        <is>
          <t>module_pack</t>
        </is>
      </c>
      <c r="F80" t="n">
        <v>1</v>
      </c>
      <c r="G80" t="inlineStr">
        <is>
          <t>operational</t>
        </is>
      </c>
      <c r="H80" t="n">
        <v>2</v>
      </c>
      <c r="I80" t="n">
        <v>2</v>
      </c>
      <c r="J80" t="n">
        <v>80000000</v>
      </c>
      <c r="K80" t="n">
        <v>80000000</v>
      </c>
      <c r="L80" t="b">
        <v>1</v>
      </c>
      <c r="M80" t="inlineStr">
        <is>
          <t>2020-01</t>
        </is>
      </c>
      <c r="N80" t="inlineStr">
        <is>
          <t>2020-01</t>
        </is>
      </c>
      <c r="O80" t="inlineStr">
        <is>
          <t>2023-01</t>
        </is>
      </c>
      <c r="P80" t="b">
        <v>1</v>
      </c>
      <c r="Q80" t="b">
        <v>1</v>
      </c>
      <c r="R80" t="b">
        <v>0</v>
      </c>
      <c r="S80">
        <f>HYPERLINK("https://www.electrive.com/2023/01/13/impact-clean-power-to-source-battery-cells-from-freyr/", "source")</f>
        <v/>
      </c>
      <c r="T80">
        <f>HYPERLINK("https://www.electrive.com/2023/01/13/impact-clean-power-to-source-battery-cells-from-freyr/", "source")</f>
        <v/>
      </c>
      <c r="U80">
        <f>HYPERLINK("https://www.electrive.com/2023/01/13/impact-clean-power-to-source-battery-cells-from-freyr/", "source")</f>
        <v/>
      </c>
      <c r="V80" t="inlineStr"/>
      <c r="W80" t="inlineStr"/>
      <c r="X80">
        <f>HYPERLINK("https://www.electrive.com/2023/01/13/impact-clean-power-to-source-battery-cells-from-freyr/", "source")</f>
        <v/>
      </c>
      <c r="Y80" t="inlineStr">
        <is>
          <t>308e98f5-1509-5c62-b093-37ddbb1a63ec</t>
        </is>
      </c>
    </row>
    <row r="81">
      <c r="A81" t="inlineStr">
        <is>
          <t>impact clean power technology</t>
        </is>
      </c>
      <c r="B81" t="inlineStr">
        <is>
          <t>PL</t>
        </is>
      </c>
      <c r="C81" t="inlineStr">
        <is>
          <t>Warsaw</t>
        </is>
      </c>
      <c r="D81" t="inlineStr">
        <is>
          <t>battery</t>
        </is>
      </c>
      <c r="E81" t="inlineStr">
        <is>
          <t>module_pack</t>
        </is>
      </c>
      <c r="F81" t="n">
        <v>2</v>
      </c>
      <c r="G81" t="inlineStr">
        <is>
          <t>announced</t>
        </is>
      </c>
      <c r="H81" t="n">
        <v>3</v>
      </c>
      <c r="I81" t="n">
        <v>5</v>
      </c>
      <c r="J81" t="n">
        <v>120000000</v>
      </c>
      <c r="K81" t="n">
        <v>200000000</v>
      </c>
      <c r="L81" t="b">
        <v>1</v>
      </c>
      <c r="M81" t="inlineStr">
        <is>
          <t>2023-01</t>
        </is>
      </c>
      <c r="N81" t="inlineStr"/>
      <c r="O81" t="inlineStr"/>
      <c r="P81" t="b">
        <v>0</v>
      </c>
      <c r="Q81" t="b">
        <v>0</v>
      </c>
      <c r="R81" t="b">
        <v>0</v>
      </c>
      <c r="S81">
        <f>HYPERLINK("https://www.electrive.com/2023/01/13/impact-clean-power-to-source-battery-cells-from-freyr/", "source")</f>
        <v/>
      </c>
      <c r="T81">
        <f>HYPERLINK("https://www.electrive.com/2023/01/13/impact-clean-power-to-source-battery-cells-from-freyr/", "source")</f>
        <v/>
      </c>
      <c r="U81">
        <f>HYPERLINK("https://www.electrive.com/2023/01/13/impact-clean-power-to-source-battery-cells-from-freyr/", "source")</f>
        <v/>
      </c>
      <c r="V81">
        <f>HYPERLINK("https://www.electrive.com/2023/01/13/impact-clean-power-to-source-battery-cells-from-freyr/", "source")</f>
        <v/>
      </c>
      <c r="W81" t="inlineStr"/>
      <c r="X81" t="inlineStr"/>
      <c r="Y81" t="inlineStr">
        <is>
          <t>308e98f5-1509-5c62-b093-37ddbb1a63ec</t>
        </is>
      </c>
    </row>
    <row r="82">
      <c r="A82" t="inlineStr">
        <is>
          <t>inobat</t>
        </is>
      </c>
      <c r="B82" t="inlineStr">
        <is>
          <t>ES</t>
        </is>
      </c>
      <c r="C82" t="inlineStr">
        <is>
          <t>Valladolid</t>
        </is>
      </c>
      <c r="D82" t="inlineStr">
        <is>
          <t>battery</t>
        </is>
      </c>
      <c r="E82" t="inlineStr">
        <is>
          <t>cell, module_pack</t>
        </is>
      </c>
      <c r="F82" t="n">
        <v>1</v>
      </c>
      <c r="G82" t="inlineStr">
        <is>
          <t>announced</t>
        </is>
      </c>
      <c r="H82" t="n">
        <v>32</v>
      </c>
      <c r="I82" t="n">
        <v>32</v>
      </c>
      <c r="J82" t="n">
        <v>712000000</v>
      </c>
      <c r="K82" t="n">
        <v>712000000</v>
      </c>
      <c r="L82" t="b">
        <v>0</v>
      </c>
      <c r="M82" t="inlineStr">
        <is>
          <t>2025-01</t>
        </is>
      </c>
      <c r="N82" t="inlineStr"/>
      <c r="O82" t="inlineStr"/>
      <c r="P82" t="b">
        <v>0</v>
      </c>
      <c r="Q82" t="b">
        <v>0</v>
      </c>
      <c r="R82" t="b">
        <v>0</v>
      </c>
      <c r="S82">
        <f>HYPERLINK("https://www.electrive.com/2025/09/12/inobat-secures-funding-for-battery-cell-plant-in-spain/", "source")</f>
        <v/>
      </c>
      <c r="T82">
        <f>HYPERLINK("https://www.electrive.com/2025/09/12/inobat-secures-funding-for-battery-cell-plant-in-spain/", "source")</f>
        <v/>
      </c>
      <c r="U82">
        <f>HYPERLINK("https://www.electrive.com/2025/09/12/inobat-secures-funding-for-battery-cell-plant-in-spain/", "source")</f>
        <v/>
      </c>
      <c r="V82">
        <f>HYPERLINK("https://mobilityportal.eu/spain-losing-investment-inobat-gigafactory/?utm_source=chatgpt.com", "source")</f>
        <v/>
      </c>
      <c r="W82" t="inlineStr"/>
      <c r="X82" t="inlineStr"/>
      <c r="Y82" t="inlineStr">
        <is>
          <t>70009197-37df-5656-96a7-8749a9611526</t>
        </is>
      </c>
    </row>
    <row r="83">
      <c r="A83" t="inlineStr">
        <is>
          <t>inobat</t>
        </is>
      </c>
      <c r="B83" t="inlineStr">
        <is>
          <t>SK</t>
        </is>
      </c>
      <c r="C83" t="inlineStr">
        <is>
          <t>Trnava Region</t>
        </is>
      </c>
      <c r="D83" t="inlineStr">
        <is>
          <t>battery</t>
        </is>
      </c>
      <c r="E83" t="inlineStr">
        <is>
          <t>cell, eam, module_pack</t>
        </is>
      </c>
      <c r="F83" t="n">
        <v>2</v>
      </c>
      <c r="G83" t="inlineStr">
        <is>
          <t>announced</t>
        </is>
      </c>
      <c r="H83" t="inlineStr"/>
      <c r="I83" t="n">
        <v>10</v>
      </c>
      <c r="J83" t="n">
        <v>800000000</v>
      </c>
      <c r="K83" t="inlineStr"/>
      <c r="L83" t="b">
        <v>1</v>
      </c>
      <c r="M83" t="inlineStr">
        <is>
          <t>2021-11</t>
        </is>
      </c>
      <c r="N83" t="inlineStr"/>
      <c r="O83" t="inlineStr"/>
      <c r="P83" t="b">
        <v>0</v>
      </c>
      <c r="Q83" t="b">
        <v>0</v>
      </c>
      <c r="R83" t="b">
        <v>0</v>
      </c>
      <c r="S83">
        <f>HYPERLINK("https://www.electrive.com/2023/12/18/inobat-begins-making-battery-cells-in-slovakia/", "source")</f>
        <v/>
      </c>
      <c r="T83">
        <f>HYPERLINK("https://www.electrive.com/2023/12/18/inobat-begins-making-battery-cells-in-slovakia/", "source")</f>
        <v/>
      </c>
      <c r="U83">
        <f>HYPERLINK("https://www.electrive.com/2023/12/18/inobat-begins-making-battery-cells-in-slovakia/", "source")</f>
        <v/>
      </c>
      <c r="V83">
        <f>HYPERLINK("https://www.electrive.com/2021/11/17/rio-tinto-invests-in-inobat/", "source")</f>
        <v/>
      </c>
      <c r="W83" t="inlineStr"/>
      <c r="X83" t="inlineStr"/>
      <c r="Y83" t="inlineStr">
        <is>
          <t>2ff677b2-aece-5538-b26a-549d68313471</t>
        </is>
      </c>
    </row>
    <row r="84">
      <c r="A84" t="inlineStr">
        <is>
          <t>international power supply</t>
        </is>
      </c>
      <c r="B84" t="inlineStr">
        <is>
          <t>BG</t>
        </is>
      </c>
      <c r="C84" t="inlineStr">
        <is>
          <t>Lovech</t>
        </is>
      </c>
      <c r="D84" t="inlineStr">
        <is>
          <t>battery</t>
        </is>
      </c>
      <c r="E84" t="inlineStr">
        <is>
          <t>module_pack</t>
        </is>
      </c>
      <c r="F84" t="n">
        <v>1</v>
      </c>
      <c r="G84" t="inlineStr">
        <is>
          <t>operational</t>
        </is>
      </c>
      <c r="H84" t="n">
        <v>0.1241</v>
      </c>
      <c r="I84" t="n">
        <v>0.1241</v>
      </c>
      <c r="J84" t="n">
        <v>4964000</v>
      </c>
      <c r="K84" t="n">
        <v>4964000</v>
      </c>
      <c r="L84" t="b">
        <v>1</v>
      </c>
      <c r="M84" t="inlineStr">
        <is>
          <t>2025-06</t>
        </is>
      </c>
      <c r="N84" t="inlineStr">
        <is>
          <t>2025-06</t>
        </is>
      </c>
      <c r="O84" t="inlineStr">
        <is>
          <t>2025-06</t>
        </is>
      </c>
      <c r="P84" t="b">
        <v>0</v>
      </c>
      <c r="Q84" t="b">
        <v>1</v>
      </c>
      <c r="R84" t="b">
        <v>0</v>
      </c>
      <c r="S84">
        <f>HYPERLINK("https://balkangreenenergynews.com/bess-factory-of-1-5-gwh-per-year-opening-near-sofia-in-bulgaria/", "source")</f>
        <v/>
      </c>
      <c r="T84">
        <f>HYPERLINK("https://balkangreenenergynews.com/bess-factory-of-1-5-gwh-per-year-opening-near-sofia-in-bulgaria/", "source")</f>
        <v/>
      </c>
      <c r="U84">
        <f>HYPERLINK("https://balkangreenenergynews.com/bess-factory-of-1-5-gwh-per-year-opening-near-sofia-in-bulgaria/", "source")</f>
        <v/>
      </c>
      <c r="V84">
        <f>HYPERLINK("https://balkangreenenergynews.com/bess-factory-of-1-5-gwh-per-year-opening-near-sofia-in-bulgaria/", "source")</f>
        <v/>
      </c>
      <c r="W84" t="inlineStr"/>
      <c r="X84">
        <f>HYPERLINK("https://balkangreenenergynews.com/bess-factory-of-1-5-gwh-per-year-opening-near-sofia-in-bulgaria/", "source")</f>
        <v/>
      </c>
      <c r="Y84" t="inlineStr">
        <is>
          <t>0babd425-de1c-5511-a797-820c452c1e0d</t>
        </is>
      </c>
    </row>
    <row r="85">
      <c r="A85" t="inlineStr">
        <is>
          <t>international power supply</t>
        </is>
      </c>
      <c r="B85" t="inlineStr">
        <is>
          <t>BG</t>
        </is>
      </c>
      <c r="C85" t="inlineStr">
        <is>
          <t>Sofia</t>
        </is>
      </c>
      <c r="D85" t="inlineStr">
        <is>
          <t>battery</t>
        </is>
      </c>
      <c r="E85" t="inlineStr">
        <is>
          <t>module_pack</t>
        </is>
      </c>
      <c r="F85" t="n">
        <v>1</v>
      </c>
      <c r="G85" t="inlineStr">
        <is>
          <t>operational</t>
        </is>
      </c>
      <c r="H85" t="n">
        <v>3</v>
      </c>
      <c r="I85" t="n">
        <v>3</v>
      </c>
      <c r="J85" t="n">
        <v>160000000</v>
      </c>
      <c r="K85" t="n">
        <v>160000000</v>
      </c>
      <c r="L85" t="b">
        <v>1</v>
      </c>
      <c r="M85" t="inlineStr">
        <is>
          <t>2025-06</t>
        </is>
      </c>
      <c r="N85" t="inlineStr">
        <is>
          <t>2025-06</t>
        </is>
      </c>
      <c r="O85" t="inlineStr">
        <is>
          <t>2025-10</t>
        </is>
      </c>
      <c r="P85" t="b">
        <v>0</v>
      </c>
      <c r="Q85" t="b">
        <v>0</v>
      </c>
      <c r="R85" t="b">
        <v>0</v>
      </c>
      <c r="S85">
        <f>HYPERLINK("https://seenews.com/news/bulgarias-ips-opens-bess-gigafactory-1283099?utm_source=chatgpt.com", "source")</f>
        <v/>
      </c>
      <c r="T85">
        <f>HYPERLINK("https://seenews.com/news/bulgarias-ips-opens-bess-gigafactory-1283099?utm_source=chatgpt.com", "source")</f>
        <v/>
      </c>
      <c r="U85">
        <f>HYPERLINK("https://www.bestmag.co.uk/ips-to-build-second-bess-production-facility-in-bulgaria/", "source")</f>
        <v/>
      </c>
      <c r="V85">
        <f>HYPERLINK("https://www.bestmag.co.uk/ips-to-build-second-bess-production-facility-in-bulgaria/", "source")</f>
        <v/>
      </c>
      <c r="W85">
        <f>HYPERLINK("https://www.bestmag.co.uk/ips-to-build-second-bess-production-facility-in-bulgaria/", "source")</f>
        <v/>
      </c>
      <c r="X85">
        <f>HYPERLINK("https://seenews.com/news/bulgarias-ips-opens-bess-gigafactory-1283099?utm_source=chatgpt.com", "source")</f>
        <v/>
      </c>
      <c r="Y85" t="inlineStr">
        <is>
          <t>5aece413-0a05-550c-bb24-216b2c510b71</t>
        </is>
      </c>
    </row>
    <row r="86">
      <c r="A86" t="inlineStr">
        <is>
          <t>international power supply</t>
        </is>
      </c>
      <c r="B86" t="inlineStr">
        <is>
          <t>BG</t>
        </is>
      </c>
      <c r="C86" t="inlineStr">
        <is>
          <t>Sofia</t>
        </is>
      </c>
      <c r="D86" t="inlineStr">
        <is>
          <t>battery</t>
        </is>
      </c>
      <c r="E86" t="inlineStr">
        <is>
          <t>module_pack</t>
        </is>
      </c>
      <c r="F86" t="n">
        <v>2</v>
      </c>
      <c r="G86" t="inlineStr">
        <is>
          <t>announced</t>
        </is>
      </c>
      <c r="H86" t="n">
        <v>5</v>
      </c>
      <c r="I86" t="n">
        <v>8</v>
      </c>
      <c r="J86" t="n">
        <v>180000000</v>
      </c>
      <c r="K86" t="n">
        <v>340000000</v>
      </c>
      <c r="L86" t="b">
        <v>0</v>
      </c>
      <c r="M86" t="inlineStr">
        <is>
          <t>2025-10</t>
        </is>
      </c>
      <c r="N86" t="inlineStr"/>
      <c r="O86" t="inlineStr"/>
      <c r="P86" t="b">
        <v>0</v>
      </c>
      <c r="Q86" t="b">
        <v>0</v>
      </c>
      <c r="R86" t="b">
        <v>0</v>
      </c>
      <c r="S86">
        <f>HYPERLINK("https://seenews.com/news/bulgarias-ips-opens-bess-gigafactory-1283099?utm_source=chatgpt.com", "source")</f>
        <v/>
      </c>
      <c r="T86">
        <f>HYPERLINK("https://seenews.com/news/bulgarias-ips-opens-bess-gigafactory-1283099?utm_source=chatgpt.com", "source")</f>
        <v/>
      </c>
      <c r="U86">
        <f>HYPERLINK("https://seenews.com/news/bulgarias-ips-opens-bess-gigafactory-1283099?utm_source=chatgpt.com", "source")</f>
        <v/>
      </c>
      <c r="V86">
        <f>HYPERLINK("https://seenews.com/news/bulgarias-ips-opens-bess-gigafactory-1283099?utm_source=chatgpt.com", "source")</f>
        <v/>
      </c>
      <c r="W86" t="inlineStr"/>
      <c r="X86" t="inlineStr"/>
      <c r="Y86" t="inlineStr">
        <is>
          <t>5aece413-0a05-550c-bb24-216b2c510b71</t>
        </is>
      </c>
    </row>
    <row r="87">
      <c r="A87" t="inlineStr">
        <is>
          <t>ionetic</t>
        </is>
      </c>
      <c r="B87" t="inlineStr">
        <is>
          <t>GB</t>
        </is>
      </c>
      <c r="C87" t="inlineStr">
        <is>
          <t>West Northamptonshire</t>
        </is>
      </c>
      <c r="D87" t="inlineStr">
        <is>
          <t>battery</t>
        </is>
      </c>
      <c r="E87" t="inlineStr">
        <is>
          <t>module_pack</t>
        </is>
      </c>
      <c r="F87" t="n">
        <v>1</v>
      </c>
      <c r="G87" t="inlineStr">
        <is>
          <t>operational</t>
        </is>
      </c>
      <c r="H87" t="inlineStr"/>
      <c r="I87" t="inlineStr"/>
      <c r="J87" t="n">
        <v>5991564</v>
      </c>
      <c r="K87" t="n">
        <v>5991564</v>
      </c>
      <c r="L87" t="b">
        <v>0</v>
      </c>
      <c r="M87" t="inlineStr"/>
      <c r="N87" t="inlineStr"/>
      <c r="O87" t="inlineStr"/>
      <c r="P87" t="b">
        <v>0</v>
      </c>
      <c r="Q87" t="b">
        <v>0</v>
      </c>
      <c r="R87" t="b">
        <v>0</v>
      </c>
      <c r="S87">
        <f>HYPERLINK("https://www.electrive.com/2025/02/26/ionetic-launches-pilot-battery-production-in-the-uk/", "source")</f>
        <v/>
      </c>
      <c r="T87" t="inlineStr"/>
      <c r="U87">
        <f>HYPERLINK("https://www.electrive.com/2025/02/26/ionetic-launches-pilot-battery-production-in-the-uk/", "source")</f>
        <v/>
      </c>
      <c r="V87" t="inlineStr"/>
      <c r="W87" t="inlineStr"/>
      <c r="X87" t="inlineStr"/>
      <c r="Y87" t="inlineStr">
        <is>
          <t>b15ea714-8b4c-5697-843c-15bc5535101f</t>
        </is>
      </c>
    </row>
    <row r="88">
      <c r="A88" t="inlineStr">
        <is>
          <t>ionway</t>
        </is>
      </c>
      <c r="B88" t="inlineStr">
        <is>
          <t>BE</t>
        </is>
      </c>
      <c r="C88" t="inlineStr">
        <is>
          <t>Arrondissement Brussel-Hoofdstad</t>
        </is>
      </c>
      <c r="D88" t="inlineStr">
        <is>
          <t>battery</t>
        </is>
      </c>
      <c r="E88" t="inlineStr">
        <is>
          <t>eam</t>
        </is>
      </c>
      <c r="F88" t="n">
        <v>1</v>
      </c>
      <c r="G88" t="inlineStr">
        <is>
          <t>announced</t>
        </is>
      </c>
      <c r="H88" t="n">
        <v>160</v>
      </c>
      <c r="I88" t="n">
        <v>160</v>
      </c>
      <c r="J88" t="inlineStr"/>
      <c r="K88" t="inlineStr"/>
      <c r="L88" t="b">
        <v>0</v>
      </c>
      <c r="M88" t="inlineStr">
        <is>
          <t>2023-10</t>
        </is>
      </c>
      <c r="N88" t="inlineStr"/>
      <c r="O88" t="inlineStr"/>
      <c r="P88" t="b">
        <v>0</v>
      </c>
      <c r="Q88" t="b">
        <v>0</v>
      </c>
      <c r="R88" t="b">
        <v>0</v>
      </c>
      <c r="S88">
        <f>HYPERLINK("https://www.just-auto.com/features/vw-groups-strategy-for-a-more-efficient-and-sustainable-business/", "source")</f>
        <v/>
      </c>
      <c r="T88">
        <f>HYPERLINK("https://www.just-auto.com/features/vw-groups-strategy-for-a-more-efficient-and-sustainable-business/", "source")</f>
        <v/>
      </c>
      <c r="U88" t="inlineStr"/>
      <c r="V88">
        <f>HYPERLINK("https://www.just-auto.com/features/vw-groups-strategy-for-a-more-efficient-and-sustainable-business/", "source")</f>
        <v/>
      </c>
      <c r="W88" t="inlineStr"/>
      <c r="X88" t="inlineStr"/>
      <c r="Y88" t="inlineStr">
        <is>
          <t>9bbdc522-b22a-5d2c-9c14-13162e440bb3</t>
        </is>
      </c>
    </row>
    <row r="89">
      <c r="A89" t="inlineStr">
        <is>
          <t>ionway</t>
        </is>
      </c>
      <c r="B89" t="inlineStr">
        <is>
          <t>PL</t>
        </is>
      </c>
      <c r="C89" t="inlineStr">
        <is>
          <t>Nysa</t>
        </is>
      </c>
      <c r="D89" t="inlineStr">
        <is>
          <t>battery</t>
        </is>
      </c>
      <c r="E89" t="inlineStr">
        <is>
          <t>eam</t>
        </is>
      </c>
      <c r="F89" t="n">
        <v>1</v>
      </c>
      <c r="G89" t="inlineStr">
        <is>
          <t>announced</t>
        </is>
      </c>
      <c r="H89" t="n">
        <v>160</v>
      </c>
      <c r="I89" t="n">
        <v>160</v>
      </c>
      <c r="J89" t="n">
        <v>1700000000</v>
      </c>
      <c r="K89" t="n">
        <v>1700000000</v>
      </c>
      <c r="L89" t="b">
        <v>0</v>
      </c>
      <c r="M89" t="inlineStr">
        <is>
          <t>2023-10</t>
        </is>
      </c>
      <c r="N89" t="inlineStr"/>
      <c r="O89" t="inlineStr"/>
      <c r="P89" t="b">
        <v>0</v>
      </c>
      <c r="Q89" t="b">
        <v>0</v>
      </c>
      <c r="R89" t="b">
        <v>0</v>
      </c>
      <c r="S89">
        <f>HYPERLINK("https://www.just-auto.com/news/jv-backed-by-vw-group-to-build-battery-materials-facility-in-poland/", "source")</f>
        <v/>
      </c>
      <c r="T89">
        <f>HYPERLINK("https://www.just-auto.com/news/jv-backed-by-vw-group-to-build-battery-materials-facility-in-poland/", "source")</f>
        <v/>
      </c>
      <c r="U89">
        <f>HYPERLINK("https://www.electrive.com/2023/10/09/ionway-to-build-cathode-plant-in-poland/", "source")</f>
        <v/>
      </c>
      <c r="V89">
        <f>HYPERLINK("https://www.just-auto.com/news/jv-backed-by-vw-group-to-build-battery-materials-facility-in-poland/", "source")</f>
        <v/>
      </c>
      <c r="W89" t="inlineStr"/>
      <c r="X89" t="inlineStr"/>
      <c r="Y89" t="inlineStr">
        <is>
          <t>600d6008-0ff1-5d5b-bc34-76b1dff939af</t>
        </is>
      </c>
    </row>
    <row r="90">
      <c r="A90" t="inlineStr">
        <is>
          <t>italvolt</t>
        </is>
      </c>
      <c r="B90" t="inlineStr">
        <is>
          <t>IT</t>
        </is>
      </c>
      <c r="C90" t="inlineStr">
        <is>
          <t>Piedmont</t>
        </is>
      </c>
      <c r="D90" t="inlineStr">
        <is>
          <t>battery</t>
        </is>
      </c>
      <c r="E90" t="inlineStr">
        <is>
          <t>cell</t>
        </is>
      </c>
      <c r="F90" t="n">
        <v>1</v>
      </c>
      <c r="G90" t="inlineStr">
        <is>
          <t>announced</t>
        </is>
      </c>
      <c r="H90" t="n">
        <v>45</v>
      </c>
      <c r="I90" t="n">
        <v>45</v>
      </c>
      <c r="J90" t="n">
        <v>4000000000</v>
      </c>
      <c r="K90" t="n">
        <v>4000000000</v>
      </c>
      <c r="L90" t="b">
        <v>0</v>
      </c>
      <c r="M90" t="inlineStr">
        <is>
          <t>2021-02</t>
        </is>
      </c>
      <c r="N90" t="inlineStr"/>
      <c r="O90" t="inlineStr"/>
      <c r="P90" t="b">
        <v>0</v>
      </c>
      <c r="Q90" t="b">
        <v>0</v>
      </c>
      <c r="R90" t="b">
        <v>0</v>
      </c>
      <c r="S90">
        <f>HYPERLINK("https://www.electrive.com/2023/01/16/italvolt-to-manufacture-storedots-xfc-battery-cells/", "source")</f>
        <v/>
      </c>
      <c r="T90">
        <f>HYPERLINK("https://www.electrive.com/2023/01/16/italvolt-to-manufacture-storedots-xfc-battery-cells/", "source")</f>
        <v/>
      </c>
      <c r="U90">
        <f>HYPERLINK("https://www.electrive.com/2022/04/20/britishvolt-italvolt-founder-announces-us-subsidiary/", "source")</f>
        <v/>
      </c>
      <c r="V90">
        <f>HYPERLINK("https://www.electrive.com/2021/02/16/italvolt-to-set-up-45-gwh-cell-production-in-italy/", "source")</f>
        <v/>
      </c>
      <c r="W90" t="inlineStr"/>
      <c r="X90" t="inlineStr"/>
      <c r="Y90" t="inlineStr">
        <is>
          <t>860b23d6-d60e-58f9-9d69-895d5e8730d1</t>
        </is>
      </c>
    </row>
    <row r="91">
      <c r="A91" t="inlineStr">
        <is>
          <t>johnson matthey</t>
        </is>
      </c>
      <c r="B91" t="inlineStr">
        <is>
          <t>FI</t>
        </is>
      </c>
      <c r="C91" t="inlineStr">
        <is>
          <t>Vaasa</t>
        </is>
      </c>
      <c r="D91" t="inlineStr">
        <is>
          <t>battery</t>
        </is>
      </c>
      <c r="E91" t="inlineStr">
        <is>
          <t>eam</t>
        </is>
      </c>
      <c r="F91" t="n">
        <v>1</v>
      </c>
      <c r="G91" t="inlineStr">
        <is>
          <t>announced</t>
        </is>
      </c>
      <c r="H91" t="n">
        <v>30000</v>
      </c>
      <c r="I91" t="n">
        <v>30000</v>
      </c>
      <c r="J91" t="n">
        <v>371268105</v>
      </c>
      <c r="K91" t="n">
        <v>371268105</v>
      </c>
      <c r="L91" t="b">
        <v>0</v>
      </c>
      <c r="M91" t="inlineStr">
        <is>
          <t>2021-04</t>
        </is>
      </c>
      <c r="N91" t="inlineStr"/>
      <c r="O91" t="inlineStr"/>
      <c r="P91" t="b">
        <v>0</v>
      </c>
      <c r="Q91" t="b">
        <v>0</v>
      </c>
      <c r="R91" t="b">
        <v>0</v>
      </c>
      <c r="S91">
        <f>HYPERLINK("https://www.electrive.com/2021/11/11/johnson-matthey-withdraws-from-battery-business/", "source")</f>
        <v/>
      </c>
      <c r="T91">
        <f>HYPERLINK("https://www.electrive.com/2021/11/11/johnson-matthey-withdraws-from-battery-business/", "source")</f>
        <v/>
      </c>
      <c r="U91">
        <f>HYPERLINK("https://www.electrive.com/2021/11/11/johnson-matthey-withdraws-from-battery-business/", "source")</f>
        <v/>
      </c>
      <c r="V91">
        <f>HYPERLINK("https://www.electrive.com/2021/04/19/johnson-matthey-to-build-cathode-plant-in-finland/", "source")</f>
        <v/>
      </c>
      <c r="W91" t="inlineStr"/>
      <c r="X91" t="inlineStr"/>
      <c r="Y91" t="inlineStr">
        <is>
          <t>8ddac5aa-6bf2-540f-9126-8c0f27a0f996</t>
        </is>
      </c>
    </row>
    <row r="92">
      <c r="A92" t="inlineStr">
        <is>
          <t>johnson matthey</t>
        </is>
      </c>
      <c r="B92" t="inlineStr">
        <is>
          <t>PL</t>
        </is>
      </c>
      <c r="C92" t="inlineStr">
        <is>
          <t>Konin</t>
        </is>
      </c>
      <c r="D92" t="inlineStr">
        <is>
          <t>battery</t>
        </is>
      </c>
      <c r="E92" t="inlineStr">
        <is>
          <t>eam</t>
        </is>
      </c>
      <c r="F92" t="n">
        <v>1</v>
      </c>
      <c r="G92" t="inlineStr">
        <is>
          <t>announced</t>
        </is>
      </c>
      <c r="H92" t="n">
        <v>10000</v>
      </c>
      <c r="I92" t="n">
        <v>10000</v>
      </c>
      <c r="J92" t="inlineStr"/>
      <c r="K92" t="inlineStr"/>
      <c r="L92" t="b">
        <v>0</v>
      </c>
      <c r="M92" t="inlineStr">
        <is>
          <t>2021-02</t>
        </is>
      </c>
      <c r="N92" t="inlineStr"/>
      <c r="O92" t="inlineStr"/>
      <c r="P92" t="b">
        <v>0</v>
      </c>
      <c r="Q92" t="b">
        <v>0</v>
      </c>
      <c r="R92" t="b">
        <v>0</v>
      </c>
      <c r="S92">
        <f>HYPERLINK("https://www.electrive.com/2021/02/02/johnson-matthey-to-supply-cell-tech-to-envision-virgin-racing/", "source")</f>
        <v/>
      </c>
      <c r="T92">
        <f>HYPERLINK("https://www.electrive.com/2021/02/02/johnson-matthey-to-supply-cell-tech-to-envision-virgin-racing/", "source")</f>
        <v/>
      </c>
      <c r="U92" t="inlineStr"/>
      <c r="V92">
        <f>HYPERLINK("https://www.electrive.com/2021/02/02/johnson-matthey-to-supply-cell-tech-to-envision-virgin-racing/", "source")</f>
        <v/>
      </c>
      <c r="W92" t="inlineStr"/>
      <c r="X92" t="inlineStr"/>
      <c r="Y92" t="inlineStr">
        <is>
          <t>7d8a2b3b-8e2c-5fcf-bb13-c0aa9bd20ef6</t>
        </is>
      </c>
    </row>
    <row r="93">
      <c r="A93" t="inlineStr">
        <is>
          <t>johnson matthey</t>
        </is>
      </c>
      <c r="B93" t="inlineStr">
        <is>
          <t>PL</t>
        </is>
      </c>
      <c r="C93" t="inlineStr">
        <is>
          <t>Konin</t>
        </is>
      </c>
      <c r="D93" t="inlineStr">
        <is>
          <t>battery</t>
        </is>
      </c>
      <c r="E93" t="inlineStr">
        <is>
          <t>eam</t>
        </is>
      </c>
      <c r="F93" t="n">
        <v>2</v>
      </c>
      <c r="G93" t="inlineStr">
        <is>
          <t>announced</t>
        </is>
      </c>
      <c r="H93" t="n">
        <v>90000</v>
      </c>
      <c r="I93" t="n">
        <v>100000</v>
      </c>
      <c r="J93" t="n">
        <v>232644705</v>
      </c>
      <c r="K93" t="n">
        <v>232644705</v>
      </c>
      <c r="L93" t="b">
        <v>0</v>
      </c>
      <c r="M93" t="inlineStr">
        <is>
          <t>2019-03</t>
        </is>
      </c>
      <c r="N93" t="inlineStr"/>
      <c r="O93" t="inlineStr"/>
      <c r="P93" t="b">
        <v>0</v>
      </c>
      <c r="Q93" t="b">
        <v>0</v>
      </c>
      <c r="R93" t="b">
        <v>0</v>
      </c>
      <c r="S93">
        <f>HYPERLINK("https://www.electrive.com/2021/04/19/johnson-matthey-to-build-cathode-plant-in-finland/", "source")</f>
        <v/>
      </c>
      <c r="T93">
        <f>HYPERLINK("https://www.electrive.com/2021/04/19/johnson-matthey-to-build-cathode-plant-in-finland/", "source")</f>
        <v/>
      </c>
      <c r="U93">
        <f>HYPERLINK("https://www.electrive.com/2019/03/28/johnson-matthey-to-build-cathode-material-plant-in-poland/", "source")</f>
        <v/>
      </c>
      <c r="V93">
        <f>HYPERLINK("https://www.electrive.com/2019/03/28/johnson-matthey-to-build-cathode-material-plant-in-poland/", "source")</f>
        <v/>
      </c>
      <c r="W93" t="inlineStr"/>
      <c r="X93" t="inlineStr"/>
      <c r="Y93" t="inlineStr">
        <is>
          <t>7d8a2b3b-8e2c-5fcf-bb13-c0aa9bd20ef6</t>
        </is>
      </c>
    </row>
    <row r="94">
      <c r="A94" t="inlineStr">
        <is>
          <t>leclanche</t>
        </is>
      </c>
      <c r="B94" t="inlineStr">
        <is>
          <t>DE</t>
        </is>
      </c>
      <c r="C94" t="inlineStr">
        <is>
          <t>Willstätt</t>
        </is>
      </c>
      <c r="D94" t="inlineStr">
        <is>
          <t>battery</t>
        </is>
      </c>
      <c r="E94" t="inlineStr">
        <is>
          <t>cell</t>
        </is>
      </c>
      <c r="F94" t="n">
        <v>2</v>
      </c>
      <c r="G94" t="inlineStr">
        <is>
          <t>announced</t>
        </is>
      </c>
      <c r="H94" t="inlineStr"/>
      <c r="I94" t="n">
        <v>2</v>
      </c>
      <c r="J94" t="n">
        <v>160000000</v>
      </c>
      <c r="K94" t="inlineStr"/>
      <c r="L94" t="b">
        <v>1</v>
      </c>
      <c r="M94" t="inlineStr">
        <is>
          <t>2019-01</t>
        </is>
      </c>
      <c r="N94" t="inlineStr"/>
      <c r="O94" t="inlineStr"/>
      <c r="P94" t="b">
        <v>0</v>
      </c>
      <c r="Q94" t="b">
        <v>0</v>
      </c>
      <c r="R94" t="b">
        <v>0</v>
      </c>
      <c r="S94">
        <f>HYPERLINK("https://www.electrive.com/2025/07/07/eu-awards-funding-to-six-battery-production-projects/", "source")</f>
        <v/>
      </c>
      <c r="T94">
        <f>HYPERLINK("https://www.electrive.com/2025/07/07/eu-awards-funding-to-six-battery-production-projects/", "source")</f>
        <v/>
      </c>
      <c r="U94">
        <f>HYPERLINK("https://www.electrive.com/2025/07/07/eu-awards-funding-to-six-battery-production-projects/", "source")</f>
        <v/>
      </c>
      <c r="V94">
        <f>HYPERLINK("https://www.leclanche.com/the-german-government-announces-the-launch-of-a-research-production-facility-for-industrial-scale-lithium-ion-cell-manufacturing-2/", "source")</f>
        <v/>
      </c>
      <c r="W94" t="inlineStr"/>
      <c r="X94" t="inlineStr"/>
      <c r="Y94" t="inlineStr">
        <is>
          <t>c2f6dffa-a87c-5c85-9819-d886ba5645f6</t>
        </is>
      </c>
    </row>
    <row r="95">
      <c r="A95" t="inlineStr">
        <is>
          <t>lg energy solution</t>
        </is>
      </c>
      <c r="B95" t="inlineStr">
        <is>
          <t>PL</t>
        </is>
      </c>
      <c r="C95" t="inlineStr">
        <is>
          <t>Wrocław</t>
        </is>
      </c>
      <c r="D95" t="inlineStr">
        <is>
          <t>battery</t>
        </is>
      </c>
      <c r="E95" t="inlineStr">
        <is>
          <t>cell, eam, module_pack</t>
        </is>
      </c>
      <c r="F95" t="n">
        <v>1</v>
      </c>
      <c r="G95" t="inlineStr">
        <is>
          <t>operational</t>
        </is>
      </c>
      <c r="H95" t="n">
        <v>15</v>
      </c>
      <c r="I95" t="n">
        <v>15</v>
      </c>
      <c r="J95" t="n">
        <v>309714985</v>
      </c>
      <c r="K95" t="n">
        <v>309714985</v>
      </c>
      <c r="L95" t="b">
        <v>0</v>
      </c>
      <c r="M95" t="inlineStr">
        <is>
          <t>2016-10</t>
        </is>
      </c>
      <c r="N95" t="inlineStr">
        <is>
          <t>2017-11</t>
        </is>
      </c>
      <c r="O95" t="inlineStr">
        <is>
          <t>2018-11</t>
        </is>
      </c>
      <c r="P95" t="b">
        <v>0</v>
      </c>
      <c r="Q95" t="b">
        <v>0</v>
      </c>
      <c r="R95" t="b">
        <v>0</v>
      </c>
      <c r="S95">
        <f>HYPERLINK("https://www.electrive.com/2020/04/24/lg-chem-secures-ehalf-a-billion-for-polish-factory-expansion/", "source")</f>
        <v/>
      </c>
      <c r="T95">
        <f>HYPERLINK("https://www.electrive.com/2020/04/24/lg-chem-secures-ehalf-a-billion-for-polish-factory-expansion/", "source")</f>
        <v/>
      </c>
      <c r="U95">
        <f>HYPERLINK("https://www.lgcorp.com/media/release/8357", "source")</f>
        <v/>
      </c>
      <c r="V95">
        <f>HYPERLINK("https://www.electrive.com/2016/10/06/lg-chem-electric-road-system-honda-valeo/", "source")</f>
        <v/>
      </c>
      <c r="W95">
        <f>HYPERLINK("https://www.lgcorp.com/media/release/8357", "source")</f>
        <v/>
      </c>
      <c r="X95">
        <f>HYPERLINK("https://www.argusmedia.com/en/news-and-insights/latest-market-news/1800748-lg-chem-to-expand-polish-ev-battery-production", "source")</f>
        <v/>
      </c>
      <c r="Y95" t="inlineStr">
        <is>
          <t>1ecceabb-bea5-5965-acde-0f73e1571e0a</t>
        </is>
      </c>
    </row>
    <row r="96">
      <c r="A96" t="inlineStr">
        <is>
          <t>lg energy solution</t>
        </is>
      </c>
      <c r="B96" t="inlineStr">
        <is>
          <t>PL</t>
        </is>
      </c>
      <c r="C96" t="inlineStr">
        <is>
          <t>Wrocław</t>
        </is>
      </c>
      <c r="D96" t="inlineStr">
        <is>
          <t>battery</t>
        </is>
      </c>
      <c r="E96" t="inlineStr">
        <is>
          <t>cell, eam, module_pack</t>
        </is>
      </c>
      <c r="F96" t="n">
        <v>2</v>
      </c>
      <c r="G96" t="inlineStr">
        <is>
          <t>operational</t>
        </is>
      </c>
      <c r="H96" t="n">
        <v>55</v>
      </c>
      <c r="I96" t="n">
        <v>70</v>
      </c>
      <c r="J96" t="n">
        <v>2690285015</v>
      </c>
      <c r="K96" t="n">
        <v>3000000000</v>
      </c>
      <c r="L96" t="b">
        <v>0</v>
      </c>
      <c r="M96" t="inlineStr">
        <is>
          <t>2018-11</t>
        </is>
      </c>
      <c r="N96" t="inlineStr">
        <is>
          <t>2021-04</t>
        </is>
      </c>
      <c r="O96" t="inlineStr">
        <is>
          <t>2022-09</t>
        </is>
      </c>
      <c r="P96" t="b">
        <v>0</v>
      </c>
      <c r="Q96" t="b">
        <v>0</v>
      </c>
      <c r="R96" t="b">
        <v>0</v>
      </c>
      <c r="S96">
        <f>HYPERLINK("https://www.electrive.com/2023/12/08/icpt-sources-modules-from-lges-for-electric-bus-batteries/", "source")</f>
        <v/>
      </c>
      <c r="T96">
        <f>HYPERLINK("https://www.electrive.com/2023/12/08/icpt-sources-modules-from-lges-for-electric-bus-batteries/", "source")</f>
        <v/>
      </c>
      <c r="U96">
        <f>HYPERLINK("https://lgensol.pl/en/five-years-of-lg-energy-solution-wroclaw/", "source")</f>
        <v/>
      </c>
      <c r="V96">
        <f>HYPERLINK("https://www.argusmedia.com/en/news-and-insights/latest-market-news/1800748-lg-chem-to-expand-polish-ev-battery-production", "source")</f>
        <v/>
      </c>
      <c r="W96">
        <f>HYPERLINK("https://invest-in-wroclaw.pl/5-years-of-lg-energy-solution-wroclaw-the-largest-investment-in-the-region#:~:text=The%20company%20started%20operations%20in,production%20capacity%20of%20the%20company.", "source")</f>
        <v/>
      </c>
      <c r="X96">
        <f>HYPERLINK("https://news.lgensol.com/company-news/supplementary-stories/848/", "source")</f>
        <v/>
      </c>
      <c r="Y96" t="inlineStr">
        <is>
          <t>1ecceabb-bea5-5965-acde-0f73e1571e0a</t>
        </is>
      </c>
    </row>
    <row r="97">
      <c r="A97" t="inlineStr">
        <is>
          <t>lg energy solution</t>
        </is>
      </c>
      <c r="B97" t="inlineStr">
        <is>
          <t>PL</t>
        </is>
      </c>
      <c r="C97" t="inlineStr">
        <is>
          <t>Wrocław</t>
        </is>
      </c>
      <c r="D97" t="inlineStr">
        <is>
          <t>battery</t>
        </is>
      </c>
      <c r="E97" t="inlineStr">
        <is>
          <t>cell, eam, module_pack</t>
        </is>
      </c>
      <c r="F97" t="n">
        <v>3</v>
      </c>
      <c r="G97" t="inlineStr">
        <is>
          <t>operational</t>
        </is>
      </c>
      <c r="H97" t="n">
        <v>16</v>
      </c>
      <c r="I97" t="n">
        <v>86</v>
      </c>
      <c r="J97" t="n">
        <v>200000000</v>
      </c>
      <c r="K97" t="n">
        <v>3200000000</v>
      </c>
      <c r="L97" t="b">
        <v>0</v>
      </c>
      <c r="M97" t="inlineStr">
        <is>
          <t>2022-11</t>
        </is>
      </c>
      <c r="N97" t="inlineStr">
        <is>
          <t>2022-11</t>
        </is>
      </c>
      <c r="O97" t="inlineStr">
        <is>
          <t>2025-08</t>
        </is>
      </c>
      <c r="P97" t="b">
        <v>0</v>
      </c>
      <c r="Q97" t="b">
        <v>0</v>
      </c>
      <c r="R97" t="b">
        <v>0</v>
      </c>
      <c r="S97">
        <f>HYPERLINK("https://lgensol.pl/en/", "source")</f>
        <v/>
      </c>
      <c r="T97">
        <f>HYPERLINK("https://lgensol.pl/en/", "source")</f>
        <v/>
      </c>
      <c r="U97">
        <f>HYPERLINK("https://www.wroclaw.pl/przedsiebiorczy-wroclaw/lg-energy-solution-program-wspierania-inwestycji?utm_source=chatgpt.com", "source")</f>
        <v/>
      </c>
      <c r="V97">
        <f>HYPERLINK("https://invest-in-wroclaw.pl/lg-energy-solution-is-developing-near-wroclaw", "source")</f>
        <v/>
      </c>
      <c r="W97">
        <f>HYPERLINK("https://invest-in-wroclaw.pl/lg-energy-solution-is-developing-near-wroclaw", "source")</f>
        <v/>
      </c>
      <c r="X97">
        <f>HYPERLINK("https://lgensol.pl/en/", "source")</f>
        <v/>
      </c>
      <c r="Y97" t="inlineStr">
        <is>
          <t>1ecceabb-bea5-5965-acde-0f73e1571e0a</t>
        </is>
      </c>
    </row>
    <row r="98">
      <c r="A98" t="inlineStr">
        <is>
          <t>lg energy solution</t>
        </is>
      </c>
      <c r="B98" t="inlineStr">
        <is>
          <t>PL</t>
        </is>
      </c>
      <c r="C98" t="inlineStr">
        <is>
          <t>Wrocław</t>
        </is>
      </c>
      <c r="D98" t="inlineStr">
        <is>
          <t>battery</t>
        </is>
      </c>
      <c r="E98" t="inlineStr">
        <is>
          <t>cell, eam, module_pack</t>
        </is>
      </c>
      <c r="F98" t="n">
        <v>4</v>
      </c>
      <c r="G98" t="inlineStr">
        <is>
          <t>announced</t>
        </is>
      </c>
      <c r="H98" t="n">
        <v>29</v>
      </c>
      <c r="I98" t="n">
        <v>115</v>
      </c>
      <c r="J98" t="n">
        <v>1079069767.44186</v>
      </c>
      <c r="K98" t="n">
        <v>4279069767.44186</v>
      </c>
      <c r="L98" t="b">
        <v>1</v>
      </c>
      <c r="M98" t="inlineStr">
        <is>
          <t>2022-09</t>
        </is>
      </c>
      <c r="N98" t="inlineStr"/>
      <c r="O98" t="inlineStr"/>
      <c r="P98" t="b">
        <v>0</v>
      </c>
      <c r="Q98" t="b">
        <v>0</v>
      </c>
      <c r="R98" t="b">
        <v>0</v>
      </c>
      <c r="S98">
        <f>HYPERLINK("https://invest-in-wroclaw.pl/lg-energy-solution-is-developing-near-wroclaw", "source")</f>
        <v/>
      </c>
      <c r="T98">
        <f>HYPERLINK("https://invest-in-wroclaw.pl/lg-energy-solution-is-developing-near-wroclaw", "source")</f>
        <v/>
      </c>
      <c r="U98">
        <f>HYPERLINK("https://invest-in-wroclaw.pl/lg-energy-solution-is-developing-near-wroclaw", "source")</f>
        <v/>
      </c>
      <c r="V98">
        <f>HYPERLINK("https://news.lgensol.com/company-news/supplementary-stories/848/", "source")</f>
        <v/>
      </c>
      <c r="W98" t="inlineStr"/>
      <c r="X98" t="inlineStr"/>
      <c r="Y98" t="inlineStr">
        <is>
          <t>1ecceabb-bea5-5965-acde-0f73e1571e0a</t>
        </is>
      </c>
    </row>
    <row r="99">
      <c r="A99" t="inlineStr">
        <is>
          <t>li cycle</t>
        </is>
      </c>
      <c r="B99" t="inlineStr">
        <is>
          <t>FR</t>
        </is>
      </c>
      <c r="C99" t="inlineStr">
        <is>
          <t>Harnes</t>
        </is>
      </c>
      <c r="D99" t="inlineStr">
        <is>
          <t>battery</t>
        </is>
      </c>
      <c r="E99" t="inlineStr">
        <is>
          <t>eam</t>
        </is>
      </c>
      <c r="F99" t="n">
        <v>1</v>
      </c>
      <c r="G99" t="inlineStr">
        <is>
          <t>announced</t>
        </is>
      </c>
      <c r="H99" t="n">
        <v>10000</v>
      </c>
      <c r="I99" t="n">
        <v>10000</v>
      </c>
      <c r="J99" t="inlineStr"/>
      <c r="K99" t="inlineStr"/>
      <c r="L99" t="b">
        <v>0</v>
      </c>
      <c r="M99" t="inlineStr">
        <is>
          <t>2023-03</t>
        </is>
      </c>
      <c r="N99" t="inlineStr"/>
      <c r="O99" t="inlineStr"/>
      <c r="P99" t="b">
        <v>0</v>
      </c>
      <c r="Q99" t="b">
        <v>0</v>
      </c>
      <c r="R99" t="b">
        <v>0</v>
      </c>
      <c r="S99">
        <f>HYPERLINK("https://www.electrive.com/2023/03/28/li-cycle-and-kion-group-sign-battery-recycling-agreement/", "source")</f>
        <v/>
      </c>
      <c r="T99">
        <f>HYPERLINK("https://www.electrive.com/2023/03/28/li-cycle-and-kion-group-sign-battery-recycling-agreement/", "source")</f>
        <v/>
      </c>
      <c r="U99" t="inlineStr"/>
      <c r="V99">
        <f>HYPERLINK("https://www.electrive.com/2023/03/28/li-cycle-and-kion-group-sign-battery-recycling-agreement/", "source")</f>
        <v/>
      </c>
      <c r="W99" t="inlineStr"/>
      <c r="X99" t="inlineStr"/>
      <c r="Y99" t="inlineStr">
        <is>
          <t>8466c031-3c61-5f7f-be7b-7aaf42bdac9a</t>
        </is>
      </c>
    </row>
    <row r="100">
      <c r="A100" t="inlineStr">
        <is>
          <t>li cycle</t>
        </is>
      </c>
      <c r="B100" t="inlineStr">
        <is>
          <t>FR</t>
        </is>
      </c>
      <c r="C100" t="inlineStr">
        <is>
          <t>Harnes</t>
        </is>
      </c>
      <c r="D100" t="inlineStr">
        <is>
          <t>battery</t>
        </is>
      </c>
      <c r="E100" t="inlineStr">
        <is>
          <t>eam</t>
        </is>
      </c>
      <c r="F100" t="n">
        <v>2</v>
      </c>
      <c r="G100" t="inlineStr">
        <is>
          <t>announced</t>
        </is>
      </c>
      <c r="H100" t="n">
        <v>15000</v>
      </c>
      <c r="I100" t="n">
        <v>25000</v>
      </c>
      <c r="J100" t="inlineStr"/>
      <c r="K100" t="inlineStr"/>
      <c r="L100" t="b">
        <v>0</v>
      </c>
      <c r="M100" t="inlineStr">
        <is>
          <t>2023-03</t>
        </is>
      </c>
      <c r="N100" t="inlineStr"/>
      <c r="O100" t="inlineStr"/>
      <c r="P100" t="b">
        <v>0</v>
      </c>
      <c r="Q100" t="b">
        <v>0</v>
      </c>
      <c r="R100" t="b">
        <v>0</v>
      </c>
      <c r="S100">
        <f>HYPERLINK("https://www.electrive.com/2023/03/28/li-cycle-and-kion-group-sign-battery-recycling-agreement/", "source")</f>
        <v/>
      </c>
      <c r="T100">
        <f>HYPERLINK("https://www.electrive.com/2023/03/28/li-cycle-and-kion-group-sign-battery-recycling-agreement/", "source")</f>
        <v/>
      </c>
      <c r="U100" t="inlineStr"/>
      <c r="V100">
        <f>HYPERLINK("https://www.electrive.com/2023/03/28/li-cycle-and-kion-group-sign-battery-recycling-agreement/", "source")</f>
        <v/>
      </c>
      <c r="W100" t="inlineStr"/>
      <c r="X100" t="inlineStr"/>
      <c r="Y100" t="inlineStr">
        <is>
          <t>8466c031-3c61-5f7f-be7b-7aaf42bdac9a</t>
        </is>
      </c>
    </row>
    <row r="101">
      <c r="A101" t="inlineStr">
        <is>
          <t>lion smart</t>
        </is>
      </c>
      <c r="B101" t="inlineStr">
        <is>
          <t>DE</t>
        </is>
      </c>
      <c r="C101" t="inlineStr">
        <is>
          <t>Hildburghausen</t>
        </is>
      </c>
      <c r="D101" t="inlineStr">
        <is>
          <t>battery</t>
        </is>
      </c>
      <c r="E101" t="inlineStr">
        <is>
          <t>module_pack</t>
        </is>
      </c>
      <c r="F101" t="n">
        <v>2</v>
      </c>
      <c r="G101" t="inlineStr">
        <is>
          <t>announced</t>
        </is>
      </c>
      <c r="H101" t="inlineStr"/>
      <c r="I101" t="n">
        <v>2.5</v>
      </c>
      <c r="J101" t="n">
        <v>100000000</v>
      </c>
      <c r="K101" t="inlineStr"/>
      <c r="L101" t="b">
        <v>1</v>
      </c>
      <c r="M101" t="inlineStr">
        <is>
          <t>2023-08</t>
        </is>
      </c>
      <c r="N101" t="inlineStr"/>
      <c r="O101" t="inlineStr"/>
      <c r="P101" t="b">
        <v>0</v>
      </c>
      <c r="Q101" t="b">
        <v>0</v>
      </c>
      <c r="R101" t="b">
        <v>0</v>
      </c>
      <c r="S101">
        <f>HYPERLINK("https://www.electrive.com/2023/08/24/lion-smart-to-source-battery-cells-from-svolt/", "source")</f>
        <v/>
      </c>
      <c r="T101">
        <f>HYPERLINK("https://www.electrive.com/2023/08/24/lion-smart-to-source-battery-cells-from-svolt/", "source")</f>
        <v/>
      </c>
      <c r="U101">
        <f>HYPERLINK("https://www.electrive.com/2023/08/24/lion-smart-to-source-battery-cells-from-svolt/", "source")</f>
        <v/>
      </c>
      <c r="V101">
        <f>HYPERLINK("https://www.electrive.com/2023/08/24/lion-smart-to-source-battery-cells-from-svolt/", "source")</f>
        <v/>
      </c>
      <c r="W101" t="inlineStr"/>
      <c r="X101" t="inlineStr"/>
      <c r="Y101" t="inlineStr">
        <is>
          <t>7f70f177-86e0-54a7-a8f6-3b495f0366e5</t>
        </is>
      </c>
    </row>
    <row r="102">
      <c r="A102" t="inlineStr">
        <is>
          <t>lotte energy materials</t>
        </is>
      </c>
      <c r="B102" t="inlineStr">
        <is>
          <t>ES</t>
        </is>
      </c>
      <c r="C102" t="inlineStr">
        <is>
          <t>Mont-roig del Camp</t>
        </is>
      </c>
      <c r="D102" t="inlineStr">
        <is>
          <t>battery</t>
        </is>
      </c>
      <c r="E102" t="inlineStr">
        <is>
          <t>eam</t>
        </is>
      </c>
      <c r="F102" t="n">
        <v>1</v>
      </c>
      <c r="G102" t="inlineStr">
        <is>
          <t>announced</t>
        </is>
      </c>
      <c r="H102" t="n">
        <v>30000</v>
      </c>
      <c r="I102" t="n">
        <v>30000</v>
      </c>
      <c r="J102" t="n">
        <v>396162880</v>
      </c>
      <c r="K102" t="n">
        <v>396162880</v>
      </c>
      <c r="L102" t="b">
        <v>0</v>
      </c>
      <c r="M102" t="inlineStr">
        <is>
          <t>2023-08</t>
        </is>
      </c>
      <c r="N102" t="inlineStr"/>
      <c r="O102" t="inlineStr"/>
      <c r="P102" t="b">
        <v>0</v>
      </c>
      <c r="Q102" t="b">
        <v>0</v>
      </c>
      <c r="R102" t="b">
        <v>0</v>
      </c>
      <c r="S102">
        <f>HYPERLINK("https://www.just-auto.com/news/lotte-to-build-copper-foil-plant-in-spain/", "source")</f>
        <v/>
      </c>
      <c r="T102">
        <f>HYPERLINK("https://www.just-auto.com/news/lotte-to-build-copper-foil-plant-in-spain/", "source")</f>
        <v/>
      </c>
      <c r="U102">
        <f>HYPERLINK("https://www.just-auto.com/news/lotte-to-build-copper-foil-plant-in-spain/", "source")</f>
        <v/>
      </c>
      <c r="V102">
        <f>HYPERLINK("https://www.just-auto.com/news/lotte-to-build-copper-foil-plant-in-spain/", "source")</f>
        <v/>
      </c>
      <c r="W102" t="inlineStr"/>
      <c r="X102" t="inlineStr"/>
      <c r="Y102" t="inlineStr">
        <is>
          <t>94828622-2282-525a-8ec8-03b15f3ba43f</t>
        </is>
      </c>
    </row>
    <row r="103">
      <c r="A103" t="inlineStr">
        <is>
          <t>lotte energy materials</t>
        </is>
      </c>
      <c r="B103" t="inlineStr">
        <is>
          <t>ES</t>
        </is>
      </c>
      <c r="C103" t="inlineStr">
        <is>
          <t>Mont-roig del Camp</t>
        </is>
      </c>
      <c r="D103" t="inlineStr">
        <is>
          <t>battery</t>
        </is>
      </c>
      <c r="E103" t="inlineStr">
        <is>
          <t>eam</t>
        </is>
      </c>
      <c r="F103" t="n">
        <v>2</v>
      </c>
      <c r="G103" t="inlineStr">
        <is>
          <t>announced</t>
        </is>
      </c>
      <c r="H103" t="n">
        <v>100000</v>
      </c>
      <c r="I103" t="n">
        <v>130000</v>
      </c>
      <c r="J103" t="inlineStr"/>
      <c r="K103" t="inlineStr"/>
      <c r="L103" t="b">
        <v>0</v>
      </c>
      <c r="M103" t="inlineStr">
        <is>
          <t>2023-08</t>
        </is>
      </c>
      <c r="N103" t="inlineStr"/>
      <c r="O103" t="inlineStr"/>
      <c r="P103" t="b">
        <v>0</v>
      </c>
      <c r="Q103" t="b">
        <v>0</v>
      </c>
      <c r="R103" t="b">
        <v>0</v>
      </c>
      <c r="S103">
        <f>HYPERLINK("https://www.just-auto.com/news/lotte-to-build-copper-foil-plant-in-spain/", "source")</f>
        <v/>
      </c>
      <c r="T103">
        <f>HYPERLINK("https://www.just-auto.com/news/lotte-to-build-copper-foil-plant-in-spain/", "source")</f>
        <v/>
      </c>
      <c r="U103" t="inlineStr"/>
      <c r="V103">
        <f>HYPERLINK("https://www.just-auto.com/news/lotte-to-build-copper-foil-plant-in-spain/", "source")</f>
        <v/>
      </c>
      <c r="W103" t="inlineStr"/>
      <c r="X103" t="inlineStr"/>
      <c r="Y103" t="inlineStr">
        <is>
          <t>94828622-2282-525a-8ec8-03b15f3ba43f</t>
        </is>
      </c>
    </row>
    <row r="104">
      <c r="A104" t="inlineStr">
        <is>
          <t>lyten</t>
        </is>
      </c>
      <c r="B104" t="inlineStr">
        <is>
          <t>PL</t>
        </is>
      </c>
      <c r="C104" t="inlineStr">
        <is>
          <t>Gdańsk</t>
        </is>
      </c>
      <c r="D104" t="inlineStr">
        <is>
          <t>battery</t>
        </is>
      </c>
      <c r="E104" t="inlineStr">
        <is>
          <t>module_pack</t>
        </is>
      </c>
      <c r="F104" t="n">
        <v>1</v>
      </c>
      <c r="G104" t="inlineStr">
        <is>
          <t>operational</t>
        </is>
      </c>
      <c r="H104" t="n">
        <v>6</v>
      </c>
      <c r="I104" t="n">
        <v>6</v>
      </c>
      <c r="J104" t="n">
        <v>240000000</v>
      </c>
      <c r="K104" t="n">
        <v>240000000</v>
      </c>
      <c r="L104" t="b">
        <v>1</v>
      </c>
      <c r="M104" t="inlineStr">
        <is>
          <t>2018-10</t>
        </is>
      </c>
      <c r="N104" t="inlineStr">
        <is>
          <t>2022-06</t>
        </is>
      </c>
      <c r="O104" t="inlineStr">
        <is>
          <t>2025-06</t>
        </is>
      </c>
      <c r="P104" t="b">
        <v>0</v>
      </c>
      <c r="Q104" t="b">
        <v>1</v>
      </c>
      <c r="R104" t="b">
        <v>0</v>
      </c>
      <c r="S104">
        <f>HYPERLINK("https://www.reuters.com/business/us-startup-lyten-take-over-northvolts-energy-storage-systems-factory-poland-2025-07-01/", "source")</f>
        <v/>
      </c>
      <c r="T104">
        <f>HYPERLINK("https://www.reuters.com/business/us-startup-lyten-take-over-northvolts-energy-storage-systems-factory-poland-2025-07-01/", "source")</f>
        <v/>
      </c>
      <c r="U104">
        <f>HYPERLINK("https://www.reuters.com/business/us-startup-lyten-take-over-northvolts-energy-storage-systems-factory-poland-2025-07-01/", "source")</f>
        <v/>
      </c>
      <c r="V104">
        <f>HYPERLINK("https://www.electrive.com/2018/10/23/northvolt-forging-partnership-for-battery-modules/", "source")</f>
        <v/>
      </c>
      <c r="W104" t="inlineStr"/>
      <c r="X104">
        <f>HYPERLINK("https://www.reuters.com/business/us-startup-lyten-take-over-northvolts-energy-storage-systems-factory-poland-2025-07-01/", "source")</f>
        <v/>
      </c>
      <c r="Y104" t="inlineStr">
        <is>
          <t>9c0723e7-e071-53e3-8e2e-ca5694ab86f2</t>
        </is>
      </c>
    </row>
    <row r="105">
      <c r="A105" t="inlineStr">
        <is>
          <t>lyten</t>
        </is>
      </c>
      <c r="B105" t="inlineStr">
        <is>
          <t>PL</t>
        </is>
      </c>
      <c r="C105" t="inlineStr">
        <is>
          <t>Gdańsk</t>
        </is>
      </c>
      <c r="D105" t="inlineStr">
        <is>
          <t>battery</t>
        </is>
      </c>
      <c r="E105" t="inlineStr">
        <is>
          <t>module_pack</t>
        </is>
      </c>
      <c r="F105" t="n">
        <v>2</v>
      </c>
      <c r="G105" t="inlineStr">
        <is>
          <t>announced</t>
        </is>
      </c>
      <c r="H105" t="n">
        <v>4</v>
      </c>
      <c r="I105" t="n">
        <v>10</v>
      </c>
      <c r="J105" t="n">
        <v>160000000</v>
      </c>
      <c r="K105" t="n">
        <v>400000000</v>
      </c>
      <c r="L105" t="b">
        <v>1</v>
      </c>
      <c r="M105" t="inlineStr">
        <is>
          <t>2025-06</t>
        </is>
      </c>
      <c r="N105" t="inlineStr"/>
      <c r="O105" t="inlineStr"/>
      <c r="P105" t="b">
        <v>0</v>
      </c>
      <c r="Q105" t="b">
        <v>0</v>
      </c>
      <c r="R105" t="b">
        <v>0</v>
      </c>
      <c r="S105">
        <f>HYPERLINK("https://www.reuters.com/business/us-startup-lyten-take-over-northvolts-energy-storage-systems-factory-poland-2025-07-01/", "source")</f>
        <v/>
      </c>
      <c r="T105">
        <f>HYPERLINK("https://www.reuters.com/business/us-startup-lyten-take-over-northvolts-energy-storage-systems-factory-poland-2025-07-01/", "source")</f>
        <v/>
      </c>
      <c r="U105">
        <f>HYPERLINK("https://www.reuters.com/business/us-startup-lyten-take-over-northvolts-energy-storage-systems-factory-poland-2025-07-01/", "source")</f>
        <v/>
      </c>
      <c r="V105">
        <f>HYPERLINK("https://www.reuters.com/business/us-startup-lyten-take-over-northvolts-energy-storage-systems-factory-poland-2025-07-01/", "source")</f>
        <v/>
      </c>
      <c r="W105" t="inlineStr"/>
      <c r="X105" t="inlineStr"/>
      <c r="Y105" t="inlineStr">
        <is>
          <t>9c0723e7-e071-53e3-8e2e-ca5694ab86f2</t>
        </is>
      </c>
    </row>
    <row r="106">
      <c r="A106" t="inlineStr">
        <is>
          <t>magna energy storage</t>
        </is>
      </c>
      <c r="B106" t="inlineStr">
        <is>
          <t>CZ</t>
        </is>
      </c>
      <c r="C106" t="inlineStr">
        <is>
          <t>Horní Suchá</t>
        </is>
      </c>
      <c r="D106" t="inlineStr">
        <is>
          <t>battery</t>
        </is>
      </c>
      <c r="E106" t="inlineStr">
        <is>
          <t>cell</t>
        </is>
      </c>
      <c r="F106" t="n">
        <v>1</v>
      </c>
      <c r="G106" t="inlineStr">
        <is>
          <t>operational</t>
        </is>
      </c>
      <c r="H106" t="n">
        <v>0.2</v>
      </c>
      <c r="I106" t="n">
        <v>0.2</v>
      </c>
      <c r="J106" t="n">
        <v>53382140</v>
      </c>
      <c r="K106" t="n">
        <v>53382140</v>
      </c>
      <c r="L106" t="b">
        <v>0</v>
      </c>
      <c r="M106" t="inlineStr">
        <is>
          <t>2018-09</t>
        </is>
      </c>
      <c r="N106" t="inlineStr">
        <is>
          <t>2018-09</t>
        </is>
      </c>
      <c r="O106" t="inlineStr">
        <is>
          <t>2020-09</t>
        </is>
      </c>
      <c r="P106" t="b">
        <v>0</v>
      </c>
      <c r="Q106" t="b">
        <v>0</v>
      </c>
      <c r="R106" t="b">
        <v>0</v>
      </c>
      <c r="S106">
        <f>HYPERLINK("https://he3da.cz/en/about-us/", "source")</f>
        <v/>
      </c>
      <c r="T106">
        <f>HYPERLINK("https://he3da.cz/en/about-us/", "source")</f>
        <v/>
      </c>
      <c r="U106">
        <f>HYPERLINK("https://apps.eurofound.europa.eu/restructuring-events/detail/101817", "source")</f>
        <v/>
      </c>
      <c r="V106">
        <f>HYPERLINK("https://www.magnastorage.cz/single-post/2018/09/17/stavba-nejmodern%C4%9Bj%C5%A1%C3%AD-evropsk%C3%A9-tov%C3%A1rny-na-v%C3%BDrobu-bateri%C3%AD-pokra%C4%8Duje", "source")</f>
        <v/>
      </c>
      <c r="W106">
        <f>HYPERLINK("https://www.magnastorage.cz/single-post/2018/09/17/stavba-nejmodern%C4%9Bj%C5%A1%C3%AD-evropsk%C3%A9-tov%C3%A1rny-na-v%C3%BDrobu-bateri%C3%AD-pokra%C4%8Duje", "source")</f>
        <v/>
      </c>
      <c r="X106">
        <f>HYPERLINK("https://he3da.cz/en/about-us/", "source")</f>
        <v/>
      </c>
      <c r="Y106" t="inlineStr">
        <is>
          <t>ad98ac4d-726d-5d70-a7ed-09f4ea134d07</t>
        </is>
      </c>
    </row>
    <row r="107">
      <c r="A107" t="inlineStr">
        <is>
          <t>magna energy storage</t>
        </is>
      </c>
      <c r="B107" t="inlineStr">
        <is>
          <t>CZ</t>
        </is>
      </c>
      <c r="C107" t="inlineStr">
        <is>
          <t>Horní Suchá</t>
        </is>
      </c>
      <c r="D107" t="inlineStr">
        <is>
          <t>battery</t>
        </is>
      </c>
      <c r="E107" t="inlineStr">
        <is>
          <t>cell</t>
        </is>
      </c>
      <c r="F107" t="n">
        <v>2</v>
      </c>
      <c r="G107" t="inlineStr">
        <is>
          <t>announced</t>
        </is>
      </c>
      <c r="H107" t="n">
        <v>1</v>
      </c>
      <c r="I107" t="n">
        <v>1.2</v>
      </c>
      <c r="J107" t="n">
        <v>266910700</v>
      </c>
      <c r="K107" t="n">
        <v>320292840</v>
      </c>
      <c r="L107" t="b">
        <v>1</v>
      </c>
      <c r="M107" t="inlineStr">
        <is>
          <t>2020-09</t>
        </is>
      </c>
      <c r="N107" t="inlineStr"/>
      <c r="O107" t="inlineStr"/>
      <c r="P107" t="b">
        <v>0</v>
      </c>
      <c r="Q107" t="b">
        <v>0</v>
      </c>
      <c r="R107" t="b">
        <v>0</v>
      </c>
      <c r="S107">
        <f>HYPERLINK("https://he3da.cz/en/about-us/", "source")</f>
        <v/>
      </c>
      <c r="T107">
        <f>HYPERLINK("https://he3da.cz/en/about-us/", "source")</f>
        <v/>
      </c>
      <c r="U107">
        <f>HYPERLINK("https://he3da.cz/en/about-us/", "source")</f>
        <v/>
      </c>
      <c r="V107">
        <f>HYPERLINK("https://he3da.cz/en/about-us/", "source")</f>
        <v/>
      </c>
      <c r="W107" t="inlineStr"/>
      <c r="X107" t="inlineStr"/>
      <c r="Y107" t="inlineStr">
        <is>
          <t>ad98ac4d-726d-5d70-a7ed-09f4ea134d07</t>
        </is>
      </c>
    </row>
    <row r="108">
      <c r="A108" t="inlineStr">
        <is>
          <t>man</t>
        </is>
      </c>
      <c r="B108" t="inlineStr">
        <is>
          <t>DE</t>
        </is>
      </c>
      <c r="C108" t="inlineStr">
        <is>
          <t>Nuremberg</t>
        </is>
      </c>
      <c r="D108" t="inlineStr">
        <is>
          <t>battery</t>
        </is>
      </c>
      <c r="E108" t="inlineStr">
        <is>
          <t>module_pack</t>
        </is>
      </c>
      <c r="F108" t="n">
        <v>1</v>
      </c>
      <c r="G108" t="inlineStr">
        <is>
          <t>operational</t>
        </is>
      </c>
      <c r="H108" t="n">
        <v>2.5</v>
      </c>
      <c r="I108" t="n">
        <v>2.5</v>
      </c>
      <c r="J108" t="n">
        <v>100000000</v>
      </c>
      <c r="K108" t="n">
        <v>100000000</v>
      </c>
      <c r="L108" t="b">
        <v>0</v>
      </c>
      <c r="M108" t="inlineStr">
        <is>
          <t>2024-11</t>
        </is>
      </c>
      <c r="N108" t="inlineStr">
        <is>
          <t>2024-11</t>
        </is>
      </c>
      <c r="O108" t="inlineStr">
        <is>
          <t>2025-04</t>
        </is>
      </c>
      <c r="P108" t="b">
        <v>0</v>
      </c>
      <c r="Q108" t="b">
        <v>0</v>
      </c>
      <c r="R108" t="b">
        <v>0</v>
      </c>
      <c r="S108">
        <f>HYPERLINK("https://www.electrive.com/2025/04/14/man-now-assembles-its-own-electric-truck-batteries/", "source")</f>
        <v/>
      </c>
      <c r="T108">
        <f>HYPERLINK("https://www.electrive.com/2025/04/14/man-now-assembles-its-own-electric-truck-batteries/", "source")</f>
        <v/>
      </c>
      <c r="U108">
        <f>HYPERLINK("https://www.electrive.com/2025/04/14/man-now-assembles-its-own-electric-truck-batteries/", "source")</f>
        <v/>
      </c>
      <c r="V108">
        <f>HYPERLINK("https://www.electrive.com/2024/11/25/topping-out-ceremony-for-mans-new-battery-production-facility-in-nuremberg/", "source")</f>
        <v/>
      </c>
      <c r="W108">
        <f>HYPERLINK("https://www.busworldeurope.org/news/new-man-battery-production-facility-nuremberg-100-million-euros-investment?utm_source=chatgpt.com", "source")</f>
        <v/>
      </c>
      <c r="X108">
        <f>HYPERLINK("https://www.electrive.com/2025/04/14/man-now-assembles-its-own-electric-truck-batteries/", "source")</f>
        <v/>
      </c>
      <c r="Y108" t="inlineStr">
        <is>
          <t>cfa8b956-3158-5967-86f6-ad86aa2e0351</t>
        </is>
      </c>
    </row>
    <row r="109">
      <c r="A109" t="inlineStr">
        <is>
          <t>man</t>
        </is>
      </c>
      <c r="B109" t="inlineStr">
        <is>
          <t>DE</t>
        </is>
      </c>
      <c r="C109" t="inlineStr">
        <is>
          <t>Nuremberg</t>
        </is>
      </c>
      <c r="D109" t="inlineStr">
        <is>
          <t>battery</t>
        </is>
      </c>
      <c r="E109" t="inlineStr">
        <is>
          <t>module_pack</t>
        </is>
      </c>
      <c r="F109" t="n">
        <v>2</v>
      </c>
      <c r="G109" t="inlineStr">
        <is>
          <t>announced</t>
        </is>
      </c>
      <c r="H109" t="n">
        <v>2.5</v>
      </c>
      <c r="I109" t="n">
        <v>5</v>
      </c>
      <c r="J109" t="n">
        <v>0</v>
      </c>
      <c r="K109" t="n">
        <v>100000000</v>
      </c>
      <c r="L109" t="b">
        <v>0</v>
      </c>
      <c r="M109" t="inlineStr">
        <is>
          <t>2022-06</t>
        </is>
      </c>
      <c r="N109" t="inlineStr"/>
      <c r="O109" t="inlineStr"/>
      <c r="P109" t="b">
        <v>0</v>
      </c>
      <c r="Q109" t="b">
        <v>0</v>
      </c>
      <c r="R109" t="b">
        <v>0</v>
      </c>
      <c r="S109">
        <f>HYPERLINK("https://www.electrive.com/2025/04/14/man-now-assembles-its-own-electric-truck-batteries/", "source")</f>
        <v/>
      </c>
      <c r="T109">
        <f>HYPERLINK("https://www.electrive.com/2025/04/14/man-now-assembles-its-own-electric-truck-batteries/", "source")</f>
        <v/>
      </c>
      <c r="U109">
        <f>HYPERLINK("https://www.electrive.com/2025/04/14/man-now-assembles-its-own-electric-truck-batteries/", "source")</f>
        <v/>
      </c>
      <c r="V109">
        <f>HYPERLINK("https://press.mantruckandbus.com/corporate/future-oriented-decision-man-builds-battery-factory-in-nuremberg/?utm_source=chatgpt.com", "source")</f>
        <v/>
      </c>
      <c r="W109" t="inlineStr"/>
      <c r="X109" t="inlineStr"/>
      <c r="Y109" t="inlineStr">
        <is>
          <t>cfa8b956-3158-5967-86f6-ad86aa2e0351</t>
        </is>
      </c>
    </row>
    <row r="110">
      <c r="A110" t="inlineStr">
        <is>
          <t>mercedes benz</t>
        </is>
      </c>
      <c r="B110" t="inlineStr">
        <is>
          <t>HU</t>
        </is>
      </c>
      <c r="C110" t="inlineStr">
        <is>
          <t>Bács-Kiskun</t>
        </is>
      </c>
      <c r="D110" t="inlineStr">
        <is>
          <t>battery</t>
        </is>
      </c>
      <c r="E110" t="inlineStr">
        <is>
          <t>assembly, module_pack</t>
        </is>
      </c>
      <c r="F110" t="n">
        <v>1</v>
      </c>
      <c r="G110" t="inlineStr">
        <is>
          <t>under construction</t>
        </is>
      </c>
      <c r="H110" t="inlineStr"/>
      <c r="I110" t="inlineStr"/>
      <c r="J110" t="n">
        <v>200000000</v>
      </c>
      <c r="K110" t="n">
        <v>200000000</v>
      </c>
      <c r="L110" t="b">
        <v>0</v>
      </c>
      <c r="M110" t="inlineStr">
        <is>
          <t>2023-05</t>
        </is>
      </c>
      <c r="N110" t="inlineStr">
        <is>
          <t>2025-05</t>
        </is>
      </c>
      <c r="O110" t="inlineStr">
        <is>
          <t>2028-05</t>
        </is>
      </c>
      <c r="P110" t="b">
        <v>0</v>
      </c>
      <c r="Q110" t="b">
        <v>0</v>
      </c>
      <c r="R110" t="b">
        <v>1</v>
      </c>
      <c r="S110">
        <f>HYPERLINK("https://autopro.hu/en/news/mercedes-in-kecskemet-grows-with-hungarian-suppliers/1397686?utm_source=chatgpt.com", "source")</f>
        <v/>
      </c>
      <c r="T110" t="inlineStr"/>
      <c r="U110">
        <f>HYPERLINK("https://autopro.hu/en/news/mercedes-in-kecskemet-grows-with-hungarian-suppliers/1397686?utm_source=chatgpt.com", "source")</f>
        <v/>
      </c>
      <c r="V110">
        <f>HYPERLINK("https://doing-business-in-hungary.com/eng/mercedes-benz-battery-integrating-plant-in-kecskemet", "source")</f>
        <v/>
      </c>
      <c r="W110">
        <f>HYPERLINK("https://autopro.hu/en/news/mercedes-in-kecskemet-grows-with-hungarian-suppliers/1397686?utm_source=chatgpt.com", "source")</f>
        <v/>
      </c>
      <c r="X110" t="inlineStr"/>
      <c r="Y110" t="inlineStr">
        <is>
          <t>bb8f1ab0-a0bd-5318-9019-229a52ac9f90</t>
        </is>
      </c>
    </row>
    <row r="111">
      <c r="A111" t="inlineStr">
        <is>
          <t>mercedes benz</t>
        </is>
      </c>
      <c r="B111" t="inlineStr">
        <is>
          <t>PL</t>
        </is>
      </c>
      <c r="C111" t="inlineStr">
        <is>
          <t>Jawor</t>
        </is>
      </c>
      <c r="D111" t="inlineStr">
        <is>
          <t>battery</t>
        </is>
      </c>
      <c r="E111" t="inlineStr">
        <is>
          <t>module_pack</t>
        </is>
      </c>
      <c r="F111" t="n">
        <v>1</v>
      </c>
      <c r="G111" t="inlineStr">
        <is>
          <t>operational</t>
        </is>
      </c>
      <c r="H111" t="n">
        <v>5</v>
      </c>
      <c r="I111" t="n">
        <v>5</v>
      </c>
      <c r="J111" t="n">
        <v>667631023</v>
      </c>
      <c r="K111" t="n">
        <v>667631023</v>
      </c>
      <c r="L111" t="b">
        <v>0</v>
      </c>
      <c r="M111" t="inlineStr">
        <is>
          <t>2017-10</t>
        </is>
      </c>
      <c r="N111" t="inlineStr">
        <is>
          <t>2017-10</t>
        </is>
      </c>
      <c r="O111" t="inlineStr">
        <is>
          <t>2020-10</t>
        </is>
      </c>
      <c r="P111" t="b">
        <v>1</v>
      </c>
      <c r="Q111" t="b">
        <v>1</v>
      </c>
      <c r="R111" t="b">
        <v>0</v>
      </c>
      <c r="S111">
        <f>HYPERLINK("https://www.mercedes-benz-jawor.com.pl/news/detail/fabryka-w-jaworze-rusza-z-produkcja-baterii-elektrycznych-i-zatrudnia-1000-pracownika?utm_source=chatgpt.com", "source")</f>
        <v/>
      </c>
      <c r="T111">
        <f>HYPERLINK("https://www.mercedes-benz-jawor.com.pl/news/detail/fabryka-w-jaworze-rusza-z-produkcja-baterii-elektrycznych-i-zatrudnia-1000-pracownika?utm_source=chatgpt.com", "source")</f>
        <v/>
      </c>
      <c r="U111">
        <f>HYPERLINK("https://www.mercedes-benz-jawor.com.pl/news/detail/fabryka-w-jaworze-rusza-z-produkcja-baterii-elektrycznych-i-zatrudnia-1000-pracownika?utm_source=chatgpt.com", "source")</f>
        <v/>
      </c>
      <c r="V111" t="inlineStr"/>
      <c r="W111" t="inlineStr"/>
      <c r="X111">
        <f>HYPERLINK("https://www.mercedes-benz-jawor.com.pl/news/detail/fabryka-w-jaworze-rusza-z-produkcja-baterii-elektrycznych-i-zatrudnia-1000-pracownika?utm_source=chatgpt.com", "source")</f>
        <v/>
      </c>
      <c r="Y111" t="inlineStr">
        <is>
          <t>384e87b1-74db-5173-a8e1-ed7e164065cb</t>
        </is>
      </c>
    </row>
    <row r="112">
      <c r="A112" t="inlineStr">
        <is>
          <t>microvast</t>
        </is>
      </c>
      <c r="B112" t="inlineStr">
        <is>
          <t>DE</t>
        </is>
      </c>
      <c r="C112" t="inlineStr">
        <is>
          <t>Ludwigsfelde</t>
        </is>
      </c>
      <c r="D112" t="inlineStr">
        <is>
          <t>battery</t>
        </is>
      </c>
      <c r="E112" t="inlineStr">
        <is>
          <t>module_pack</t>
        </is>
      </c>
      <c r="F112" t="n">
        <v>1</v>
      </c>
      <c r="G112" t="inlineStr">
        <is>
          <t>operational</t>
        </is>
      </c>
      <c r="H112" t="n">
        <v>1.5</v>
      </c>
      <c r="I112" t="n">
        <v>1.5</v>
      </c>
      <c r="J112" t="n">
        <v>50000000</v>
      </c>
      <c r="K112" t="n">
        <v>50000000</v>
      </c>
      <c r="L112" t="b">
        <v>0</v>
      </c>
      <c r="M112" t="inlineStr">
        <is>
          <t>2020-07</t>
        </is>
      </c>
      <c r="N112" t="inlineStr">
        <is>
          <t>2020-07</t>
        </is>
      </c>
      <c r="O112" t="inlineStr">
        <is>
          <t>2021-02</t>
        </is>
      </c>
      <c r="P112" t="b">
        <v>0</v>
      </c>
      <c r="Q112" t="b">
        <v>0</v>
      </c>
      <c r="R112" t="b">
        <v>0</v>
      </c>
      <c r="S112">
        <f>HYPERLINK("https://www.electrive.com/2021/02/11/microvast-to-build-plant-and-work-with-oshkosh/", "source")</f>
        <v/>
      </c>
      <c r="T112">
        <f>HYPERLINK("https://www.electrive.com/2021/02/11/microvast-to-build-plant-and-work-with-oshkosh/", "source")</f>
        <v/>
      </c>
      <c r="U112">
        <f>HYPERLINK("https://www.electrive.com/2020/07/03/microvast-completes-battery-factory-in-brandenburg/", "source")</f>
        <v/>
      </c>
      <c r="V112">
        <f>HYPERLINK("https://www.electrive.com/2020/07/03/microvast-completes-battery-factory-in-brandenburg/", "source")</f>
        <v/>
      </c>
      <c r="W112">
        <f>HYPERLINK("https://www.electrive.com/2020/07/03/microvast-completes-battery-factory-in-brandenburg/", "source")</f>
        <v/>
      </c>
      <c r="X112">
        <f>HYPERLINK("https://www.electrive.com/2021/02/11/microvast-to-build-plant-and-work-with-oshkosh/", "source")</f>
        <v/>
      </c>
      <c r="Y112" t="inlineStr">
        <is>
          <t>8ec08aa8-9c0c-55b1-8373-7a19dc3da4d5</t>
        </is>
      </c>
    </row>
    <row r="113">
      <c r="A113" t="inlineStr">
        <is>
          <t>microvast</t>
        </is>
      </c>
      <c r="B113" t="inlineStr">
        <is>
          <t>DE</t>
        </is>
      </c>
      <c r="C113" t="inlineStr">
        <is>
          <t>Ludwigsfelde</t>
        </is>
      </c>
      <c r="D113" t="inlineStr">
        <is>
          <t>battery</t>
        </is>
      </c>
      <c r="E113" t="inlineStr">
        <is>
          <t>module_pack</t>
        </is>
      </c>
      <c r="F113" t="n">
        <v>2</v>
      </c>
      <c r="G113" t="inlineStr">
        <is>
          <t>under construction</t>
        </is>
      </c>
      <c r="H113" t="n">
        <v>4.5</v>
      </c>
      <c r="I113" t="n">
        <v>6</v>
      </c>
      <c r="J113" t="n">
        <v>0</v>
      </c>
      <c r="K113" t="n">
        <v>50000000</v>
      </c>
      <c r="L113" t="b">
        <v>0</v>
      </c>
      <c r="M113" t="inlineStr">
        <is>
          <t>2019-11</t>
        </is>
      </c>
      <c r="N113" t="inlineStr">
        <is>
          <t>2021-02</t>
        </is>
      </c>
      <c r="O113" t="inlineStr">
        <is>
          <t>2024-02</t>
        </is>
      </c>
      <c r="P113" t="b">
        <v>0</v>
      </c>
      <c r="Q113" t="b">
        <v>0</v>
      </c>
      <c r="R113" t="b">
        <v>1</v>
      </c>
      <c r="S113">
        <f>HYPERLINK("https://www.electrive.com/2021/02/11/microvast-to-build-plant-and-work-with-oshkosh/", "source")</f>
        <v/>
      </c>
      <c r="T113">
        <f>HYPERLINK("https://www.electrive.com/2021/02/11/microvast-to-build-plant-and-work-with-oshkosh/", "source")</f>
        <v/>
      </c>
      <c r="U113">
        <f>HYPERLINK("https://www.electrive.com/2021/02/11/microvast-to-build-plant-and-work-with-oshkosh/", "source")</f>
        <v/>
      </c>
      <c r="V113">
        <f>HYPERLINK("https://www.electrive.com/2019/11/20/battery-manufacturer-microvast-follows-tesla-to-brandenburg/", "source")</f>
        <v/>
      </c>
      <c r="W113">
        <f>HYPERLINK("https://www.electrive.com/2021/02/11/microvast-to-build-plant-and-work-with-oshkosh/", "source")</f>
        <v/>
      </c>
      <c r="X113" t="inlineStr"/>
      <c r="Y113" t="inlineStr">
        <is>
          <t>8ec08aa8-9c0c-55b1-8373-7a19dc3da4d5</t>
        </is>
      </c>
    </row>
    <row r="114">
      <c r="A114" t="inlineStr">
        <is>
          <t>morrow batteries</t>
        </is>
      </c>
      <c r="B114" t="inlineStr">
        <is>
          <t>NO</t>
        </is>
      </c>
      <c r="C114" t="inlineStr">
        <is>
          <t>Agder</t>
        </is>
      </c>
      <c r="D114" t="inlineStr">
        <is>
          <t>battery</t>
        </is>
      </c>
      <c r="E114" t="inlineStr">
        <is>
          <t>cell, eam</t>
        </is>
      </c>
      <c r="F114" t="n">
        <v>1</v>
      </c>
      <c r="G114" t="inlineStr">
        <is>
          <t>operational</t>
        </is>
      </c>
      <c r="H114" t="n">
        <v>1</v>
      </c>
      <c r="I114" t="n">
        <v>1</v>
      </c>
      <c r="J114" t="n">
        <v>427000000</v>
      </c>
      <c r="K114" t="n">
        <v>427000000</v>
      </c>
      <c r="L114" t="b">
        <v>0</v>
      </c>
      <c r="M114" t="inlineStr">
        <is>
          <t>2020-12</t>
        </is>
      </c>
      <c r="N114" t="inlineStr">
        <is>
          <t>2022-11</t>
        </is>
      </c>
      <c r="O114" t="inlineStr">
        <is>
          <t>2024-08</t>
        </is>
      </c>
      <c r="P114" t="b">
        <v>0</v>
      </c>
      <c r="Q114" t="b">
        <v>0</v>
      </c>
      <c r="R114" t="b">
        <v>0</v>
      </c>
      <c r="S114">
        <f>HYPERLINK("https://renewablesnow.com/news/morrow-batteries-gets-eur-128m-to-advance-battery-production-in-norway-1268301/?utm_source=chatgpt.com", "source")</f>
        <v/>
      </c>
      <c r="T114">
        <f>HYPERLINK("https://renewablesnow.com/news/morrow-batteries-gets-eur-128m-to-advance-battery-production-in-norway-1268301/?utm_source=chatgpt.com", "source")</f>
        <v/>
      </c>
      <c r="U114">
        <f>HYPERLINK("https://www.electrive.com/2024/08/20/morrow-batteries-opens-gigafactory-in-southern-norway/", "source")</f>
        <v/>
      </c>
      <c r="V114">
        <f>HYPERLINK("https://www.electrive.com/2020/12/29/morrow-batteries-to-build-32-gwh-battery-factory-in-norway/", "source")</f>
        <v/>
      </c>
      <c r="W114">
        <f>HYPERLINK("https://www.electrive.com/2022/11/08/morrow-batteries-signs-supply-deal-with-celgard/", "source")</f>
        <v/>
      </c>
      <c r="X114">
        <f>HYPERLINK("https://www.electrive.com/2024/08/20/morrow-batteries-opens-gigafactory-in-southern-norway/", "source")</f>
        <v/>
      </c>
      <c r="Y114" t="inlineStr">
        <is>
          <t>166589dc-25e8-53f3-9ce7-f62aeb2048a1</t>
        </is>
      </c>
    </row>
    <row r="115">
      <c r="A115" t="inlineStr">
        <is>
          <t>morrow batteries</t>
        </is>
      </c>
      <c r="B115" t="inlineStr">
        <is>
          <t>NO</t>
        </is>
      </c>
      <c r="C115" t="inlineStr">
        <is>
          <t>Agder</t>
        </is>
      </c>
      <c r="D115" t="inlineStr">
        <is>
          <t>battery</t>
        </is>
      </c>
      <c r="E115" t="inlineStr">
        <is>
          <t>cell, eam</t>
        </is>
      </c>
      <c r="F115" t="n">
        <v>2</v>
      </c>
      <c r="G115" t="inlineStr">
        <is>
          <t>announced</t>
        </is>
      </c>
      <c r="H115" t="n">
        <v>13</v>
      </c>
      <c r="I115" t="n">
        <v>14</v>
      </c>
      <c r="J115" t="n">
        <v>5551000000</v>
      </c>
      <c r="K115" t="n">
        <v>5978000000</v>
      </c>
      <c r="L115" t="b">
        <v>1</v>
      </c>
      <c r="M115" t="inlineStr">
        <is>
          <t>2024-08</t>
        </is>
      </c>
      <c r="N115" t="inlineStr"/>
      <c r="O115" t="inlineStr"/>
      <c r="P115" t="b">
        <v>0</v>
      </c>
      <c r="Q115" t="b">
        <v>0</v>
      </c>
      <c r="R115" t="b">
        <v>0</v>
      </c>
      <c r="S115">
        <f>HYPERLINK("https://www.reuters.com/technology/norways-morrow-batteries-opens-factory-plans-first-deliveries-by-year-end-2024-08-16/", "source")</f>
        <v/>
      </c>
      <c r="T115">
        <f>HYPERLINK("https://www.reuters.com/technology/norways-morrow-batteries-opens-factory-plans-first-deliveries-by-year-end-2024-08-16/", "source")</f>
        <v/>
      </c>
      <c r="U115">
        <f>HYPERLINK("https://www.reuters.com/technology/norways-morrow-batteries-opens-factory-plans-first-deliveries-by-year-end-2024-08-16/", "source")</f>
        <v/>
      </c>
      <c r="V115">
        <f>HYPERLINK("https://www.reuters.com/technology/norways-morrow-batteries-opens-factory-plans-first-deliveries-by-year-end-2024-08-16/", "source")</f>
        <v/>
      </c>
      <c r="W115" t="inlineStr"/>
      <c r="X115" t="inlineStr"/>
      <c r="Y115" t="inlineStr">
        <is>
          <t>166589dc-25e8-53f3-9ce7-f62aeb2048a1</t>
        </is>
      </c>
    </row>
    <row r="116">
      <c r="A116" t="inlineStr">
        <is>
          <t>norcsi</t>
        </is>
      </c>
      <c r="B116" t="inlineStr">
        <is>
          <t>DE</t>
        </is>
      </c>
      <c r="C116" t="inlineStr">
        <is>
          <t>Halle (Saale)</t>
        </is>
      </c>
      <c r="D116" t="inlineStr">
        <is>
          <t>battery</t>
        </is>
      </c>
      <c r="E116" t="inlineStr">
        <is>
          <t>eam</t>
        </is>
      </c>
      <c r="F116" t="n">
        <v>1</v>
      </c>
      <c r="G116" t="inlineStr">
        <is>
          <t>under construction</t>
        </is>
      </c>
      <c r="H116" t="inlineStr"/>
      <c r="I116" t="inlineStr"/>
      <c r="J116" t="n">
        <v>10700000</v>
      </c>
      <c r="K116" t="n">
        <v>10700000</v>
      </c>
      <c r="L116" t="b">
        <v>0</v>
      </c>
      <c r="M116" t="inlineStr">
        <is>
          <t>2025-07</t>
        </is>
      </c>
      <c r="N116" t="inlineStr">
        <is>
          <t>2025-07</t>
        </is>
      </c>
      <c r="O116" t="inlineStr">
        <is>
          <t>2028-07</t>
        </is>
      </c>
      <c r="P116" t="b">
        <v>0</v>
      </c>
      <c r="Q116" t="b">
        <v>0</v>
      </c>
      <c r="R116" t="b">
        <v>1</v>
      </c>
      <c r="S116">
        <f>HYPERLINK("https://www.electrive.com/2025/07/31/german-start-up-receives-ten-million-euros-for-the-development-of-silicon-anodes/", "source")</f>
        <v/>
      </c>
      <c r="T116">
        <f>HYPERLINK("https://www.electrive.com/2025/07/31/german-start-up-receives-ten-million-euros-for-the-development-of-silicon-anodes/", "source")</f>
        <v/>
      </c>
      <c r="U116">
        <f>HYPERLINK("https://www.electrive.com/2025/07/31/german-start-up-receives-ten-million-euros-for-the-development-of-silicon-anodes/", "source")</f>
        <v/>
      </c>
      <c r="V116">
        <f>HYPERLINK("https://www.electrive.com/2025/07/31/german-start-up-receives-ten-million-euros-for-the-development-of-silicon-anodes/", "source")</f>
        <v/>
      </c>
      <c r="W116">
        <f>HYPERLINK("https://www.electrive.com/2025/07/31/german-start-up-receives-ten-million-euros-for-the-development-of-silicon-anodes/", "source")</f>
        <v/>
      </c>
      <c r="X116" t="inlineStr"/>
      <c r="Y116" t="inlineStr">
        <is>
          <t>cce57840-1bdf-5dcc-a11f-4c364b320438</t>
        </is>
      </c>
    </row>
    <row r="117">
      <c r="A117" t="inlineStr">
        <is>
          <t>northvolt</t>
        </is>
      </c>
      <c r="B117" t="inlineStr">
        <is>
          <t>DE</t>
        </is>
      </c>
      <c r="C117" t="inlineStr">
        <is>
          <t>Heide</t>
        </is>
      </c>
      <c r="D117" t="inlineStr">
        <is>
          <t>battery</t>
        </is>
      </c>
      <c r="E117" t="inlineStr">
        <is>
          <t>cell</t>
        </is>
      </c>
      <c r="F117" t="n">
        <v>1</v>
      </c>
      <c r="G117" t="inlineStr">
        <is>
          <t>paused</t>
        </is>
      </c>
      <c r="H117" t="n">
        <v>15</v>
      </c>
      <c r="I117" t="n">
        <v>15</v>
      </c>
      <c r="J117" t="n">
        <v>4500000000</v>
      </c>
      <c r="K117" t="n">
        <v>4500000000</v>
      </c>
      <c r="L117" t="b">
        <v>0</v>
      </c>
      <c r="M117" t="inlineStr">
        <is>
          <t>2022-03</t>
        </is>
      </c>
      <c r="N117" t="inlineStr">
        <is>
          <t>2024-03</t>
        </is>
      </c>
      <c r="O117" t="inlineStr">
        <is>
          <t>2027-03</t>
        </is>
      </c>
      <c r="P117" t="b">
        <v>0</v>
      </c>
      <c r="Q117" t="b">
        <v>0</v>
      </c>
      <c r="R117" t="b">
        <v>1</v>
      </c>
      <c r="S117">
        <f>HYPERLINK("https://www.electrive.com/2025/08/07/us-battery-developer-lyten-wants-to-acquire-northvolt/", "source")</f>
        <v/>
      </c>
      <c r="T117">
        <f>HYPERLINK("https://www.electrive.com/2025/08/07/us-battery-developer-lyten-wants-to-acquire-northvolt/", "source")</f>
        <v/>
      </c>
      <c r="U117">
        <f>HYPERLINK("https://www.electrive.com/2024/03/25/northvolt-breaks-ground-for-german-battery-factory/", "source")</f>
        <v/>
      </c>
      <c r="V117">
        <f>HYPERLINK("https://www.electrive.com/2022/03/16/emobility-update-7-ford-evs-in-europe-northvolt-factory-in-germany-2nd-life-for-jaguar-i-pace-batteries/", "source")</f>
        <v/>
      </c>
      <c r="W117">
        <f>HYPERLINK("https://www.electrive.com/2024/03/25/northvolt-breaks-ground-for-german-battery-factory/", "source")</f>
        <v/>
      </c>
      <c r="X117" t="inlineStr"/>
      <c r="Y117" t="inlineStr">
        <is>
          <t>7c690fe6-58e9-5d05-88e3-f734946d3ffa</t>
        </is>
      </c>
    </row>
    <row r="118">
      <c r="A118" t="inlineStr">
        <is>
          <t>northvolt</t>
        </is>
      </c>
      <c r="B118" t="inlineStr">
        <is>
          <t>SE</t>
        </is>
      </c>
      <c r="C118" t="inlineStr">
        <is>
          <t>Borlänge Municipality</t>
        </is>
      </c>
      <c r="D118" t="inlineStr">
        <is>
          <t>battery</t>
        </is>
      </c>
      <c r="E118" t="inlineStr">
        <is>
          <t>eam</t>
        </is>
      </c>
      <c r="F118" t="n">
        <v>1</v>
      </c>
      <c r="G118" t="inlineStr">
        <is>
          <t>announced</t>
        </is>
      </c>
      <c r="H118" t="n">
        <v>100</v>
      </c>
      <c r="I118" t="n">
        <v>100</v>
      </c>
      <c r="J118" t="inlineStr"/>
      <c r="K118" t="inlineStr"/>
      <c r="L118" t="b">
        <v>0</v>
      </c>
      <c r="M118" t="inlineStr">
        <is>
          <t>2022-05</t>
        </is>
      </c>
      <c r="N118" t="inlineStr"/>
      <c r="O118" t="inlineStr"/>
      <c r="P118" t="b">
        <v>0</v>
      </c>
      <c r="Q118" t="b">
        <v>0</v>
      </c>
      <c r="R118" t="b">
        <v>0</v>
      </c>
      <c r="S118">
        <f>HYPERLINK("https://www.just-auto.com/news/northvolt-reviewing-plans-for-new-swedish-gigafactory/", "source")</f>
        <v/>
      </c>
      <c r="T118">
        <f>HYPERLINK("https://www.just-auto.com/news/northvolt-reviewing-plans-for-new-swedish-gigafactory/", "source")</f>
        <v/>
      </c>
      <c r="U118" t="inlineStr"/>
      <c r="V118">
        <f>HYPERLINK("https://www.electrive.com/2022/05/18/northvolt-starts-delivering-cells-from-skelleftea-factory/", "source")</f>
        <v/>
      </c>
      <c r="W118" t="inlineStr"/>
      <c r="X118" t="inlineStr"/>
      <c r="Y118" t="inlineStr">
        <is>
          <t>9890e75b-5e41-5d4d-a460-1bdd72606cb2</t>
        </is>
      </c>
    </row>
    <row r="119">
      <c r="A119" t="inlineStr">
        <is>
          <t>northvolt</t>
        </is>
      </c>
      <c r="B119" t="inlineStr">
        <is>
          <t>SE</t>
        </is>
      </c>
      <c r="C119" t="inlineStr">
        <is>
          <t>Skellefteå Kommun</t>
        </is>
      </c>
      <c r="D119" t="inlineStr">
        <is>
          <t>battery</t>
        </is>
      </c>
      <c r="E119" t="inlineStr">
        <is>
          <t>cell, eam</t>
        </is>
      </c>
      <c r="F119" t="n">
        <v>1</v>
      </c>
      <c r="G119" t="inlineStr">
        <is>
          <t>operational</t>
        </is>
      </c>
      <c r="H119" t="n">
        <v>16</v>
      </c>
      <c r="I119" t="n">
        <v>16</v>
      </c>
      <c r="J119" t="n">
        <v>4000000000</v>
      </c>
      <c r="K119" t="n">
        <v>4000000000</v>
      </c>
      <c r="L119" t="b">
        <v>0</v>
      </c>
      <c r="M119" t="inlineStr">
        <is>
          <t>2017-10</t>
        </is>
      </c>
      <c r="N119" t="inlineStr">
        <is>
          <t>2018-10</t>
        </is>
      </c>
      <c r="O119" t="inlineStr">
        <is>
          <t>2022-01</t>
        </is>
      </c>
      <c r="P119" t="b">
        <v>0</v>
      </c>
      <c r="Q119" t="b">
        <v>0</v>
      </c>
      <c r="R119" t="b">
        <v>0</v>
      </c>
      <c r="S119">
        <f>HYPERLINK("https://www.electrive.com/2025/08/07/us-battery-developer-lyten-wants-to-acquire-northvolt/", "source")</f>
        <v/>
      </c>
      <c r="T119">
        <f>HYPERLINK("https://www.electrive.com/2025/08/07/us-battery-developer-lyten-wants-to-acquire-northvolt/", "source")</f>
        <v/>
      </c>
      <c r="U119">
        <f>HYPERLINK("https://www.electrive.com/2019/05/15/vw-turns-to-northvolt-for-battery-cells/", "source")</f>
        <v/>
      </c>
      <c r="V119">
        <f>HYPERLINK("https://www.electrive.com/2017/10/20/northvolt-wm-motor-volkswagen-hyliion/", "source")</f>
        <v/>
      </c>
      <c r="W119">
        <f>HYPERLINK("https://www.electrive.com/2018/10/23/northvolt-forging-partnership-for-battery-modules/", "source")</f>
        <v/>
      </c>
      <c r="X119">
        <f>HYPERLINK("https://www.electrive.com/2022/01/02/batteries-are-now-being-produced-at-northvolt/", "source")</f>
        <v/>
      </c>
      <c r="Y119" t="inlineStr">
        <is>
          <t>79fe9685-5029-58de-97b0-887e3b39f0ac</t>
        </is>
      </c>
    </row>
    <row r="120">
      <c r="A120" t="inlineStr">
        <is>
          <t>northvolt</t>
        </is>
      </c>
      <c r="B120" t="inlineStr">
        <is>
          <t>SE</t>
        </is>
      </c>
      <c r="C120" t="inlineStr">
        <is>
          <t>Skellefteå Kommun</t>
        </is>
      </c>
      <c r="D120" t="inlineStr">
        <is>
          <t>battery</t>
        </is>
      </c>
      <c r="E120" t="inlineStr">
        <is>
          <t>cell, eam</t>
        </is>
      </c>
      <c r="F120" t="n">
        <v>2</v>
      </c>
      <c r="G120" t="inlineStr">
        <is>
          <t>cancelled</t>
        </is>
      </c>
      <c r="H120" t="n">
        <v>14</v>
      </c>
      <c r="I120" t="n">
        <v>30</v>
      </c>
      <c r="J120" t="n">
        <v>3500000000</v>
      </c>
      <c r="K120" t="n">
        <v>7500000000</v>
      </c>
      <c r="L120" t="b">
        <v>1</v>
      </c>
      <c r="M120" t="inlineStr">
        <is>
          <t>2017-10</t>
        </is>
      </c>
      <c r="N120" t="inlineStr"/>
      <c r="O120" t="inlineStr"/>
      <c r="P120" t="b">
        <v>0</v>
      </c>
      <c r="Q120" t="b">
        <v>0</v>
      </c>
      <c r="R120" t="b">
        <v>0</v>
      </c>
      <c r="S120">
        <f>HYPERLINK("https://www.electrive.com/2024/09/23/northvolt-cuts-1600-jobs-puts-cell-plant-expansion-on-ice/", "source")</f>
        <v/>
      </c>
      <c r="T120">
        <f>HYPERLINK("https://www.electrive.com/2024/09/23/northvolt-cuts-1600-jobs-puts-cell-plant-expansion-on-ice/", "source")</f>
        <v/>
      </c>
      <c r="U120">
        <f>HYPERLINK("https://www.electrive.com/2024/09/23/northvolt-cuts-1600-jobs-puts-cell-plant-expansion-on-ice/", "source")</f>
        <v/>
      </c>
      <c r="V120">
        <f>HYPERLINK("https://www.electrive.com/2017/10/20/northvolt-wm-motor-volkswagen-hyliion/", "source")</f>
        <v/>
      </c>
      <c r="W120" t="inlineStr"/>
      <c r="X120" t="inlineStr"/>
      <c r="Y120" t="inlineStr">
        <is>
          <t>79fe9685-5029-58de-97b0-887e3b39f0ac</t>
        </is>
      </c>
    </row>
    <row r="121">
      <c r="A121" t="inlineStr">
        <is>
          <t>northvolt</t>
        </is>
      </c>
      <c r="B121" t="inlineStr">
        <is>
          <t>SE</t>
        </is>
      </c>
      <c r="C121" t="inlineStr">
        <is>
          <t>Västerås Municipality</t>
        </is>
      </c>
      <c r="D121" t="inlineStr">
        <is>
          <t>battery</t>
        </is>
      </c>
      <c r="E121" t="inlineStr">
        <is>
          <t>cell</t>
        </is>
      </c>
      <c r="F121" t="n">
        <v>1</v>
      </c>
      <c r="G121" t="inlineStr">
        <is>
          <t>under construction</t>
        </is>
      </c>
      <c r="H121" t="inlineStr"/>
      <c r="I121" t="inlineStr"/>
      <c r="J121" t="n">
        <v>52500000</v>
      </c>
      <c r="K121" t="n">
        <v>52500000</v>
      </c>
      <c r="L121" t="b">
        <v>0</v>
      </c>
      <c r="M121" t="inlineStr">
        <is>
          <t>2018-02</t>
        </is>
      </c>
      <c r="N121" t="inlineStr">
        <is>
          <t>2019-05</t>
        </is>
      </c>
      <c r="O121" t="inlineStr">
        <is>
          <t>2022-05</t>
        </is>
      </c>
      <c r="P121" t="b">
        <v>0</v>
      </c>
      <c r="Q121" t="b">
        <v>0</v>
      </c>
      <c r="R121" t="b">
        <v>1</v>
      </c>
      <c r="S121">
        <f>HYPERLINK("https://www.electrive.com/2019/05/16/eib-gives-first-clearance-for-e350-million-loan-for-northvolt/", "source")</f>
        <v/>
      </c>
      <c r="T121" t="inlineStr"/>
      <c r="U121">
        <f>HYPERLINK("https://www.electrive.com/2019/05/16/eib-gives-first-clearance-for-e350-million-loan-for-northvolt/", "source")</f>
        <v/>
      </c>
      <c r="V121">
        <f>HYPERLINK("https://www.electrive.com/2018/02/13/northvolt-secures-support-european-investment-bank/", "source")</f>
        <v/>
      </c>
      <c r="W121">
        <f>HYPERLINK("https://www.electrive.com/2019/05/16/eib-gives-first-clearance-for-e350-million-loan-for-northvolt/", "source")</f>
        <v/>
      </c>
      <c r="X121" t="inlineStr"/>
      <c r="Y121" t="inlineStr">
        <is>
          <t>0241727e-9055-5425-b1f4-1f91196f2834</t>
        </is>
      </c>
    </row>
    <row r="122">
      <c r="A122" t="inlineStr">
        <is>
          <t>northvolt</t>
        </is>
      </c>
      <c r="B122" t="inlineStr">
        <is>
          <t>SE</t>
        </is>
      </c>
      <c r="C122" t="inlineStr">
        <is>
          <t>Västerås Municipality</t>
        </is>
      </c>
      <c r="D122" t="inlineStr">
        <is>
          <t>battery</t>
        </is>
      </c>
      <c r="E122" t="inlineStr">
        <is>
          <t>cell</t>
        </is>
      </c>
      <c r="F122" t="n">
        <v>2</v>
      </c>
      <c r="G122" t="inlineStr">
        <is>
          <t>under construction</t>
        </is>
      </c>
      <c r="H122" t="inlineStr"/>
      <c r="I122" t="inlineStr"/>
      <c r="J122" t="n">
        <v>594051724</v>
      </c>
      <c r="K122" t="n">
        <v>646551724</v>
      </c>
      <c r="L122" t="b">
        <v>0</v>
      </c>
      <c r="M122" t="inlineStr">
        <is>
          <t>2021-10</t>
        </is>
      </c>
      <c r="N122" t="inlineStr">
        <is>
          <t>2021-10</t>
        </is>
      </c>
      <c r="O122" t="inlineStr">
        <is>
          <t>2024-10</t>
        </is>
      </c>
      <c r="P122" t="b">
        <v>0</v>
      </c>
      <c r="Q122" t="b">
        <v>0</v>
      </c>
      <c r="R122" t="b">
        <v>1</v>
      </c>
      <c r="S122">
        <f>HYPERLINK("https://www.electrive.com/2021/10/07/northvolt-expands-research-facility-in-vasteras/", "source")</f>
        <v/>
      </c>
      <c r="T122" t="inlineStr"/>
      <c r="U122">
        <f>HYPERLINK("https://www.electrive.com/2021/10/07/northvolt-expands-research-facility-in-vasteras/", "source")</f>
        <v/>
      </c>
      <c r="V122">
        <f>HYPERLINK("https://www.electrive.com/2021/10/07/northvolt-expands-research-facility-in-vasteras/", "source")</f>
        <v/>
      </c>
      <c r="W122">
        <f>HYPERLINK("https://www.electrive.com/2021/10/07/northvolt-expands-research-facility-in-vasteras/", "source")</f>
        <v/>
      </c>
      <c r="X122" t="inlineStr"/>
      <c r="Y122" t="inlineStr">
        <is>
          <t>0241727e-9055-5425-b1f4-1f91196f2834</t>
        </is>
      </c>
    </row>
    <row r="123">
      <c r="A123" t="inlineStr">
        <is>
          <t>pge group</t>
        </is>
      </c>
      <c r="B123" t="inlineStr">
        <is>
          <t>PL</t>
        </is>
      </c>
      <c r="C123" t="inlineStr">
        <is>
          <t>Gmina Gryfino</t>
        </is>
      </c>
      <c r="D123" t="inlineStr">
        <is>
          <t>battery</t>
        </is>
      </c>
      <c r="E123" t="inlineStr">
        <is>
          <t>module_pack</t>
        </is>
      </c>
      <c r="F123" t="n">
        <v>1</v>
      </c>
      <c r="G123" t="inlineStr">
        <is>
          <t>announced</t>
        </is>
      </c>
      <c r="H123" t="n">
        <v>0.4</v>
      </c>
      <c r="I123" t="n">
        <v>0.4</v>
      </c>
      <c r="J123" t="n">
        <v>16000000</v>
      </c>
      <c r="K123" t="n">
        <v>16000000</v>
      </c>
      <c r="L123" t="b">
        <v>1</v>
      </c>
      <c r="M123" t="inlineStr">
        <is>
          <t>2025-08</t>
        </is>
      </c>
      <c r="N123" t="inlineStr"/>
      <c r="O123" t="inlineStr"/>
      <c r="P123" t="b">
        <v>0</v>
      </c>
      <c r="Q123" t="b">
        <v>0</v>
      </c>
      <c r="R123" t="b">
        <v>0</v>
      </c>
      <c r="S123">
        <f>HYPERLINK("https://www.pv-magazine.com/2025/08/15/pge-group-launches-400-mw-two-hour-battery-storage-tender-in-poland/", "source")</f>
        <v/>
      </c>
      <c r="T123">
        <f>HYPERLINK("https://www.pv-magazine.com/2025/08/15/pge-group-launches-400-mw-two-hour-battery-storage-tender-in-poland/", "source")</f>
        <v/>
      </c>
      <c r="U123">
        <f>HYPERLINK("https://www.pv-magazine.com/2025/08/15/pge-group-launches-400-mw-two-hour-battery-storage-tender-in-poland/", "source")</f>
        <v/>
      </c>
      <c r="V123">
        <f>HYPERLINK("https://www.pv-magazine.com/2025/08/15/pge-group-launches-400-mw-two-hour-battery-storage-tender-in-poland/", "source")</f>
        <v/>
      </c>
      <c r="W123" t="inlineStr"/>
      <c r="X123" t="inlineStr"/>
      <c r="Y123" t="inlineStr">
        <is>
          <t>285e9445-6735-5dcb-8ace-1d66c41fab97</t>
        </is>
      </c>
    </row>
    <row r="124">
      <c r="A124" t="inlineStr">
        <is>
          <t>pge group</t>
        </is>
      </c>
      <c r="B124" t="inlineStr">
        <is>
          <t>PL</t>
        </is>
      </c>
      <c r="C124" t="inlineStr">
        <is>
          <t>Gmina Gryfino</t>
        </is>
      </c>
      <c r="D124" t="inlineStr">
        <is>
          <t>battery</t>
        </is>
      </c>
      <c r="E124" t="inlineStr">
        <is>
          <t>module_pack</t>
        </is>
      </c>
      <c r="F124" t="n">
        <v>2</v>
      </c>
      <c r="G124" t="inlineStr">
        <is>
          <t>announced</t>
        </is>
      </c>
      <c r="H124" t="n">
        <v>0.4</v>
      </c>
      <c r="I124" t="n">
        <v>0.8</v>
      </c>
      <c r="J124" t="n">
        <v>16000000</v>
      </c>
      <c r="K124" t="n">
        <v>32000000</v>
      </c>
      <c r="L124" t="b">
        <v>1</v>
      </c>
      <c r="M124" t="inlineStr">
        <is>
          <t>2025-08</t>
        </is>
      </c>
      <c r="N124" t="inlineStr"/>
      <c r="O124" t="inlineStr"/>
      <c r="P124" t="b">
        <v>0</v>
      </c>
      <c r="Q124" t="b">
        <v>0</v>
      </c>
      <c r="R124" t="b">
        <v>0</v>
      </c>
      <c r="S124">
        <f>HYPERLINK("https://www.pv-magazine.com/2025/08/15/pge-group-launches-400-mw-two-hour-battery-storage-tender-in-poland/", "source")</f>
        <v/>
      </c>
      <c r="T124">
        <f>HYPERLINK("https://www.pv-magazine.com/2025/08/15/pge-group-launches-400-mw-two-hour-battery-storage-tender-in-poland/", "source")</f>
        <v/>
      </c>
      <c r="U124">
        <f>HYPERLINK("https://www.pv-magazine.com/2025/08/15/pge-group-launches-400-mw-two-hour-battery-storage-tender-in-poland/", "source")</f>
        <v/>
      </c>
      <c r="V124">
        <f>HYPERLINK("https://www.pv-magazine.com/2025/08/15/pge-group-launches-400-mw-two-hour-battery-storage-tender-in-poland/", "source")</f>
        <v/>
      </c>
      <c r="W124" t="inlineStr"/>
      <c r="X124" t="inlineStr"/>
      <c r="Y124" t="inlineStr">
        <is>
          <t>285e9445-6735-5dcb-8ace-1d66c41fab97</t>
        </is>
      </c>
    </row>
    <row r="125">
      <c r="A125" t="inlineStr">
        <is>
          <t>pge group</t>
        </is>
      </c>
      <c r="B125" t="inlineStr">
        <is>
          <t>PL</t>
        </is>
      </c>
      <c r="C125" t="inlineStr">
        <is>
          <t>Żarnowiec</t>
        </is>
      </c>
      <c r="D125" t="inlineStr">
        <is>
          <t>battery</t>
        </is>
      </c>
      <c r="E125" t="inlineStr">
        <is>
          <t>module_pack</t>
        </is>
      </c>
      <c r="F125" t="n">
        <v>1</v>
      </c>
      <c r="G125" t="inlineStr">
        <is>
          <t>announced</t>
        </is>
      </c>
      <c r="H125" t="n">
        <v>0.9</v>
      </c>
      <c r="I125" t="n">
        <v>0.9</v>
      </c>
      <c r="J125" t="n">
        <v>36000000</v>
      </c>
      <c r="K125" t="n">
        <v>36000000</v>
      </c>
      <c r="L125" t="b">
        <v>1</v>
      </c>
      <c r="M125" t="inlineStr">
        <is>
          <t>2025-08</t>
        </is>
      </c>
      <c r="N125" t="inlineStr"/>
      <c r="O125" t="inlineStr"/>
      <c r="P125" t="b">
        <v>0</v>
      </c>
      <c r="Q125" t="b">
        <v>0</v>
      </c>
      <c r="R125" t="b">
        <v>0</v>
      </c>
      <c r="S125">
        <f>HYPERLINK("https://www.pv-magazine.com/2025/08/15/pge-group-launches-400-mw-two-hour-battery-storage-tender-in-poland/", "source")</f>
        <v/>
      </c>
      <c r="T125">
        <f>HYPERLINK("https://www.pv-magazine.com/2025/08/15/pge-group-launches-400-mw-two-hour-battery-storage-tender-in-poland/", "source")</f>
        <v/>
      </c>
      <c r="U125">
        <f>HYPERLINK("https://www.pv-magazine.com/2025/08/15/pge-group-launches-400-mw-two-hour-battery-storage-tender-in-poland/", "source")</f>
        <v/>
      </c>
      <c r="V125">
        <f>HYPERLINK("https://www.pv-magazine.com/2025/08/15/pge-group-launches-400-mw-two-hour-battery-storage-tender-in-poland/", "source")</f>
        <v/>
      </c>
      <c r="W125" t="inlineStr"/>
      <c r="X125" t="inlineStr"/>
      <c r="Y125" t="inlineStr">
        <is>
          <t>355ac1ef-93a6-5da5-b098-39d3e7768481</t>
        </is>
      </c>
    </row>
    <row r="126">
      <c r="A126" t="inlineStr">
        <is>
          <t>porsche</t>
        </is>
      </c>
      <c r="B126" t="inlineStr">
        <is>
          <t>DE</t>
        </is>
      </c>
      <c r="C126" t="inlineStr">
        <is>
          <t>Leipzig</t>
        </is>
      </c>
      <c r="D126" t="inlineStr">
        <is>
          <t>battery</t>
        </is>
      </c>
      <c r="E126" t="inlineStr">
        <is>
          <t>module_pack</t>
        </is>
      </c>
      <c r="F126" t="n">
        <v>1</v>
      </c>
      <c r="G126" t="inlineStr">
        <is>
          <t>operational</t>
        </is>
      </c>
      <c r="H126" t="n">
        <v>0.005</v>
      </c>
      <c r="I126" t="n">
        <v>0.005</v>
      </c>
      <c r="J126" t="n">
        <v>200000</v>
      </c>
      <c r="K126" t="n">
        <v>200000</v>
      </c>
      <c r="L126" t="b">
        <v>1</v>
      </c>
      <c r="M126" t="inlineStr">
        <is>
          <t>2021-08</t>
        </is>
      </c>
      <c r="N126" t="inlineStr">
        <is>
          <t>2021-08</t>
        </is>
      </c>
      <c r="O126" t="inlineStr">
        <is>
          <t>2024-08</t>
        </is>
      </c>
      <c r="P126" t="b">
        <v>1</v>
      </c>
      <c r="Q126" t="b">
        <v>1</v>
      </c>
      <c r="R126" t="b">
        <v>0</v>
      </c>
      <c r="S126">
        <f>HYPERLINK("https://www.pv-magazine.com/2024/08/12/porche-reveals-second-life-battery-at-germany-plant/", "source")</f>
        <v/>
      </c>
      <c r="T126">
        <f>HYPERLINK("https://www.pv-magazine.com/2024/08/12/porche-reveals-second-life-battery-at-germany-plant/", "source")</f>
        <v/>
      </c>
      <c r="U126">
        <f>HYPERLINK("https://www.pv-magazine.com/2024/08/12/porche-reveals-second-life-battery-at-germany-plant/", "source")</f>
        <v/>
      </c>
      <c r="V126" t="inlineStr"/>
      <c r="W126" t="inlineStr"/>
      <c r="X126">
        <f>HYPERLINK("https://www.pv-magazine.com/2024/08/12/porche-reveals-second-life-battery-at-germany-plant/", "source")</f>
        <v/>
      </c>
      <c r="Y126" t="inlineStr">
        <is>
          <t>2c99fc4d-0193-5c1b-be8a-39db84130ef5</t>
        </is>
      </c>
    </row>
    <row r="127">
      <c r="A127" t="inlineStr">
        <is>
          <t>porsche</t>
        </is>
      </c>
      <c r="B127" t="inlineStr">
        <is>
          <t>DE</t>
        </is>
      </c>
      <c r="C127" t="inlineStr">
        <is>
          <t>Reutlingen</t>
        </is>
      </c>
      <c r="D127" t="inlineStr">
        <is>
          <t>battery</t>
        </is>
      </c>
      <c r="E127" t="inlineStr">
        <is>
          <t>cell, module_pack</t>
        </is>
      </c>
      <c r="F127" t="n">
        <v>1</v>
      </c>
      <c r="G127" t="inlineStr">
        <is>
          <t>cancelled</t>
        </is>
      </c>
      <c r="H127" t="n">
        <v>1.3</v>
      </c>
      <c r="I127" t="n">
        <v>1.3</v>
      </c>
      <c r="J127" t="n">
        <v>104000000</v>
      </c>
      <c r="K127" t="n">
        <v>104000000</v>
      </c>
      <c r="L127" t="b">
        <v>1</v>
      </c>
      <c r="M127" t="inlineStr">
        <is>
          <t>2022-05</t>
        </is>
      </c>
      <c r="N127" t="inlineStr">
        <is>
          <t>2022-05</t>
        </is>
      </c>
      <c r="O127" t="inlineStr">
        <is>
          <t>2025-05</t>
        </is>
      </c>
      <c r="P127" t="b">
        <v>0</v>
      </c>
      <c r="Q127" t="b">
        <v>0</v>
      </c>
      <c r="R127" t="b">
        <v>1</v>
      </c>
      <c r="S127">
        <f>HYPERLINK("https://www.euronews.com/business/2025/08/21/germanys-porsche-is-closing-battery-subsidiary-cellforce-reports-say?utm_source=chatgpt.com", "source")</f>
        <v/>
      </c>
      <c r="T127">
        <f>HYPERLINK("https://www.electrive.com/2024/07/05/porsche-considers-acquiring-a-stake-in-varta-battery-subsidiary-v4drive/", "source")</f>
        <v/>
      </c>
      <c r="U127">
        <f>HYPERLINK("https://www.electrive.com/2024/07/05/porsche-considers-acquiring-a-stake-in-varta-battery-subsidiary-v4drive/", "source")</f>
        <v/>
      </c>
      <c r="V127">
        <f>HYPERLINK("https://www.electrive.com/2022/05/04/porsche-buys-in-group14-for-access-to-silicon-anodes/", "source")</f>
        <v/>
      </c>
      <c r="W127">
        <f>HYPERLINK("https://www.electrive.com/2022/05/04/porsche-buys-in-group14-for-access-to-silicon-anodes/", "source")</f>
        <v/>
      </c>
      <c r="X127" t="inlineStr"/>
      <c r="Y127" t="inlineStr">
        <is>
          <t>34654437-ee57-5f27-b156-75b151158c42</t>
        </is>
      </c>
    </row>
    <row r="128">
      <c r="A128" t="inlineStr">
        <is>
          <t>prime batteries technology</t>
        </is>
      </c>
      <c r="B128" t="inlineStr">
        <is>
          <t>RO</t>
        </is>
      </c>
      <c r="C128" t="inlineStr">
        <is>
          <t>Ilfov</t>
        </is>
      </c>
      <c r="D128" t="inlineStr">
        <is>
          <t>battery</t>
        </is>
      </c>
      <c r="E128" t="inlineStr">
        <is>
          <t>cell</t>
        </is>
      </c>
      <c r="F128" t="n">
        <v>1</v>
      </c>
      <c r="G128" t="inlineStr">
        <is>
          <t>operational</t>
        </is>
      </c>
      <c r="H128" t="n">
        <v>2.3</v>
      </c>
      <c r="I128" t="n">
        <v>2.3</v>
      </c>
      <c r="J128" t="n">
        <v>230000000</v>
      </c>
      <c r="K128" t="n">
        <v>230000000</v>
      </c>
      <c r="L128" t="b">
        <v>0</v>
      </c>
      <c r="M128" t="inlineStr">
        <is>
          <t>2022-05</t>
        </is>
      </c>
      <c r="N128" t="inlineStr">
        <is>
          <t>2022-05</t>
        </is>
      </c>
      <c r="O128" t="inlineStr">
        <is>
          <t>2025-05</t>
        </is>
      </c>
      <c r="P128" t="b">
        <v>1</v>
      </c>
      <c r="Q128" t="b">
        <v>1</v>
      </c>
      <c r="R128" t="b">
        <v>0</v>
      </c>
      <c r="S128">
        <f>HYPERLINK("https://www.romania-insider.com/prime-batteries-second-ro-may-2025", "source")</f>
        <v/>
      </c>
      <c r="T128">
        <f>HYPERLINK("https://www.romania-insider.com/prime-batteries-second-ro-may-2025", "source")</f>
        <v/>
      </c>
      <c r="U128">
        <f>HYPERLINK("https://www.romania-insider.com/prime-batteries-second-ro-may-2025", "source")</f>
        <v/>
      </c>
      <c r="V128" t="inlineStr"/>
      <c r="W128" t="inlineStr"/>
      <c r="X128">
        <f>HYPERLINK("https://www.romania-insider.com/prime-batteries-second-ro-may-2025", "source")</f>
        <v/>
      </c>
      <c r="Y128" t="inlineStr">
        <is>
          <t>8a9f848a-9c3f-5d01-b8c2-a61ac76b6dcd</t>
        </is>
      </c>
    </row>
    <row r="129">
      <c r="A129" t="inlineStr">
        <is>
          <t>prologium</t>
        </is>
      </c>
      <c r="B129" t="inlineStr">
        <is>
          <t>FR</t>
        </is>
      </c>
      <c r="C129" t="inlineStr">
        <is>
          <t>Dunkerque</t>
        </is>
      </c>
      <c r="D129" t="inlineStr">
        <is>
          <t>battery</t>
        </is>
      </c>
      <c r="E129" t="inlineStr">
        <is>
          <t>cell</t>
        </is>
      </c>
      <c r="F129" t="n">
        <v>1</v>
      </c>
      <c r="G129" t="inlineStr">
        <is>
          <t>announced</t>
        </is>
      </c>
      <c r="H129" t="n">
        <v>48</v>
      </c>
      <c r="I129" t="n">
        <v>48</v>
      </c>
      <c r="J129" t="n">
        <v>5200000000</v>
      </c>
      <c r="K129" t="n">
        <v>5200000000</v>
      </c>
      <c r="L129" t="b">
        <v>0</v>
      </c>
      <c r="M129" t="inlineStr">
        <is>
          <t>2023-05</t>
        </is>
      </c>
      <c r="N129" t="inlineStr"/>
      <c r="O129" t="inlineStr"/>
      <c r="P129" t="b">
        <v>0</v>
      </c>
      <c r="Q129" t="b">
        <v>0</v>
      </c>
      <c r="R129" t="b">
        <v>0</v>
      </c>
      <c r="S129">
        <f>HYPERLINK("https://www.electrive.com/2024/09/27/ocsial-to-supply-prologium-with-carbon-nanotubes-for-solid-state-batteries/", "source")</f>
        <v/>
      </c>
      <c r="T129">
        <f>HYPERLINK("https://www.electrive.com/2024/01/24/prologium-opens-first-factory-for-series-production-of-solid-state-cells/", "source")</f>
        <v/>
      </c>
      <c r="U129">
        <f>HYPERLINK("https://www.electrive.com/2024/09/27/ocsial-to-supply-prologium-with-carbon-nanotubes-for-solid-state-batteries/", "source")</f>
        <v/>
      </c>
      <c r="V129">
        <f>HYPERLINK("https://www.electrive.com/2023/05/10/prologium-looks-to-france-for-next-battery-factory/", "source")</f>
        <v/>
      </c>
      <c r="W129" t="inlineStr"/>
      <c r="X129" t="inlineStr"/>
      <c r="Y129" t="inlineStr">
        <is>
          <t>d10022a6-c0cb-5b78-9bb5-75e0eb0a7128</t>
        </is>
      </c>
    </row>
    <row r="130">
      <c r="A130" t="inlineStr">
        <is>
          <t>pure battery technologies</t>
        </is>
      </c>
      <c r="B130" t="inlineStr">
        <is>
          <t>DE</t>
        </is>
      </c>
      <c r="C130" t="inlineStr">
        <is>
          <t>Hagen</t>
        </is>
      </c>
      <c r="D130" t="inlineStr">
        <is>
          <t>battery</t>
        </is>
      </c>
      <c r="E130" t="inlineStr">
        <is>
          <t>eam</t>
        </is>
      </c>
      <c r="F130" t="n">
        <v>1</v>
      </c>
      <c r="G130" t="inlineStr">
        <is>
          <t>operational</t>
        </is>
      </c>
      <c r="H130" t="n">
        <v>10000</v>
      </c>
      <c r="I130" t="n">
        <v>10000</v>
      </c>
      <c r="J130" t="inlineStr"/>
      <c r="K130" t="inlineStr"/>
      <c r="L130" t="b">
        <v>0</v>
      </c>
      <c r="M130" t="inlineStr">
        <is>
          <t>2019-06</t>
        </is>
      </c>
      <c r="N130" t="inlineStr">
        <is>
          <t>2019-06</t>
        </is>
      </c>
      <c r="O130" t="inlineStr">
        <is>
          <t>2022-06</t>
        </is>
      </c>
      <c r="P130" t="b">
        <v>1</v>
      </c>
      <c r="Q130" t="b">
        <v>1</v>
      </c>
      <c r="R130" t="b">
        <v>0</v>
      </c>
      <c r="S130">
        <f>HYPERLINK("https://www.electrive.com/2022/06/03/eit-innoenergy-invests-in-pure-battery-technologies/", "source")</f>
        <v/>
      </c>
      <c r="T130">
        <f>HYPERLINK("https://www.electrive.com/2022/06/03/eit-innoenergy-invests-in-pure-battery-technologies/", "source")</f>
        <v/>
      </c>
      <c r="U130" t="inlineStr"/>
      <c r="V130" t="inlineStr"/>
      <c r="W130" t="inlineStr"/>
      <c r="X130">
        <f>HYPERLINK("https://www.electrive.com/2022/06/03/eit-innoenergy-invests-in-pure-battery-technologies/", "source")</f>
        <v/>
      </c>
      <c r="Y130" t="inlineStr">
        <is>
          <t>f01afb7a-3b7e-5854-9497-205dd70aa8d6</t>
        </is>
      </c>
    </row>
    <row r="131">
      <c r="A131" t="inlineStr">
        <is>
          <t>saft</t>
        </is>
      </c>
      <c r="B131" t="inlineStr">
        <is>
          <t>FR</t>
        </is>
      </c>
      <c r="C131" t="inlineStr">
        <is>
          <t>Nersac</t>
        </is>
      </c>
      <c r="D131" t="inlineStr">
        <is>
          <t>battery</t>
        </is>
      </c>
      <c r="E131" t="inlineStr">
        <is>
          <t>cell</t>
        </is>
      </c>
      <c r="F131" t="n">
        <v>1</v>
      </c>
      <c r="G131" t="inlineStr">
        <is>
          <t>announced</t>
        </is>
      </c>
      <c r="H131" t="inlineStr"/>
      <c r="I131" t="inlineStr"/>
      <c r="J131" t="n">
        <v>200000000</v>
      </c>
      <c r="K131" t="n">
        <v>200000000</v>
      </c>
      <c r="L131" t="b">
        <v>0</v>
      </c>
      <c r="M131" t="inlineStr">
        <is>
          <t>2020-01</t>
        </is>
      </c>
      <c r="N131" t="inlineStr"/>
      <c r="O131" t="inlineStr"/>
      <c r="P131" t="b">
        <v>0</v>
      </c>
      <c r="Q131" t="b">
        <v>0</v>
      </c>
      <c r="R131" t="b">
        <v>0</v>
      </c>
      <c r="S131">
        <f>HYPERLINK("https://www.electrive.com/2020/01/30/official-start-of-saft-battery-cell-pilot-production/", "source")</f>
        <v/>
      </c>
      <c r="T131" t="inlineStr"/>
      <c r="U131">
        <f>HYPERLINK("https://www.electrive.com/2020/01/30/official-start-of-saft-battery-cell-pilot-production/", "source")</f>
        <v/>
      </c>
      <c r="V131">
        <f>HYPERLINK("https://www.electrive.com/2020/01/30/official-start-of-saft-battery-cell-pilot-production/", "source")</f>
        <v/>
      </c>
      <c r="W131" t="inlineStr"/>
      <c r="X131" t="inlineStr"/>
      <c r="Y131" t="inlineStr">
        <is>
          <t>3508d12e-7034-5434-8cba-6f570a9c8222</t>
        </is>
      </c>
    </row>
    <row r="132">
      <c r="A132" t="inlineStr">
        <is>
          <t>samsung sdi</t>
        </is>
      </c>
      <c r="B132" t="inlineStr">
        <is>
          <t>HU</t>
        </is>
      </c>
      <c r="C132" t="inlineStr">
        <is>
          <t>Pest County</t>
        </is>
      </c>
      <c r="D132" t="inlineStr">
        <is>
          <t>battery</t>
        </is>
      </c>
      <c r="E132" t="inlineStr">
        <is>
          <t>cell, module_pack</t>
        </is>
      </c>
      <c r="F132" t="n">
        <v>1</v>
      </c>
      <c r="G132" t="inlineStr">
        <is>
          <t>operational</t>
        </is>
      </c>
      <c r="H132" t="n">
        <v>2.5</v>
      </c>
      <c r="I132" t="n">
        <v>2.5</v>
      </c>
      <c r="J132" t="n">
        <v>320673594</v>
      </c>
      <c r="K132" t="n">
        <v>320673594</v>
      </c>
      <c r="L132" t="b">
        <v>0</v>
      </c>
      <c r="M132" t="inlineStr">
        <is>
          <t>2016-08</t>
        </is>
      </c>
      <c r="N132" t="inlineStr">
        <is>
          <t>2016-08</t>
        </is>
      </c>
      <c r="O132" t="inlineStr">
        <is>
          <t>2017-05</t>
        </is>
      </c>
      <c r="P132" t="b">
        <v>0</v>
      </c>
      <c r="Q132" t="b">
        <v>0</v>
      </c>
      <c r="R132" t="b">
        <v>0</v>
      </c>
      <c r="S132">
        <f>HYPERLINK("https://www.gardnerweb.com/news/samsung-opens-ev-battery-factory-in-hungary?utm_source=chatgpt.com", "source")</f>
        <v/>
      </c>
      <c r="T132">
        <f>HYPERLINK("https://www.gardnerweb.com/news/samsung-opens-ev-battery-factory-in-hungary?utm_source=chatgpt.com", "source")</f>
        <v/>
      </c>
      <c r="U132">
        <f>HYPERLINK("https://www.electrive.com/2016/08/31/volkswagen-samsung-sdi-chevrolet-nohms-technologies/", "source")</f>
        <v/>
      </c>
      <c r="V132">
        <f>HYPERLINK("https://www.electrive.com/2016/08/31/volkswagen-samsung-sdi-chevrolet-nohms-technologies/", "source")</f>
        <v/>
      </c>
      <c r="W132">
        <f>HYPERLINK("https://www.electrive.com/2016/08/31/volkswagen-samsung-sdi-chevrolet-nohms-technologies/", "source")</f>
        <v/>
      </c>
      <c r="X132">
        <f>HYPERLINK("https://www.gardnerweb.com/news/samsung-opens-ev-battery-factory-in-hungary?utm_source=chatgpt.com", "source")</f>
        <v/>
      </c>
      <c r="Y132" t="inlineStr">
        <is>
          <t>0f219e41-3b5a-5bc0-aa10-8e0bb41d1a93</t>
        </is>
      </c>
    </row>
    <row r="133">
      <c r="A133" t="inlineStr">
        <is>
          <t>samsung sdi</t>
        </is>
      </c>
      <c r="B133" t="inlineStr">
        <is>
          <t>HU</t>
        </is>
      </c>
      <c r="C133" t="inlineStr">
        <is>
          <t>Pest County</t>
        </is>
      </c>
      <c r="D133" t="inlineStr">
        <is>
          <t>battery</t>
        </is>
      </c>
      <c r="E133" t="inlineStr">
        <is>
          <t>cell, module_pack</t>
        </is>
      </c>
      <c r="F133" t="n">
        <v>2</v>
      </c>
      <c r="G133" t="inlineStr">
        <is>
          <t>operational</t>
        </is>
      </c>
      <c r="H133" t="n">
        <v>27.5</v>
      </c>
      <c r="I133" t="n">
        <v>30</v>
      </c>
      <c r="J133" t="n">
        <v>879326406</v>
      </c>
      <c r="K133" t="n">
        <v>1200000000</v>
      </c>
      <c r="L133" t="b">
        <v>0</v>
      </c>
      <c r="M133" t="inlineStr">
        <is>
          <t>2019-10</t>
        </is>
      </c>
      <c r="N133" t="inlineStr">
        <is>
          <t>2019-10</t>
        </is>
      </c>
      <c r="O133" t="inlineStr">
        <is>
          <t>2021-02</t>
        </is>
      </c>
      <c r="P133" t="b">
        <v>0</v>
      </c>
      <c r="Q133" t="b">
        <v>0</v>
      </c>
      <c r="R133" t="b">
        <v>0</v>
      </c>
      <c r="S133">
        <f>HYPERLINK("https://www.electrive.com/2021/02/24/samsung-sdi-expands-battery-production-in-hungary/", "source")</f>
        <v/>
      </c>
      <c r="T133">
        <f>HYPERLINK("https://www.electrive.com/2021/02/24/samsung-sdi-expands-battery-production-in-hungary/", "source")</f>
        <v/>
      </c>
      <c r="U133">
        <f>HYPERLINK("https://hipa.hu/news/the-second-phase-of-the-samsung-sdi-construction-going-on-through-a-huge-investment-in-god/?utm_source=chatgpt.com", "source")</f>
        <v/>
      </c>
      <c r="V133">
        <f>HYPERLINK("https://hipa.hu/news/the-second-phase-of-the-samsung-sdi-construction-going-on-through-a-huge-investment-in-god/?utm_source=chatgpt.com", "source")</f>
        <v/>
      </c>
      <c r="W133">
        <f>HYPERLINK("https://hipa.hu/news/the-second-phase-of-the-samsung-sdi-construction-going-on-through-a-huge-investment-in-god/?utm_source=chatgpt.com", "source")</f>
        <v/>
      </c>
      <c r="X133">
        <f>HYPERLINK("https://www.electrive.com/2021/02/24/samsung-sdi-expands-battery-production-in-hungary/", "source")</f>
        <v/>
      </c>
      <c r="Y133" t="inlineStr">
        <is>
          <t>0f219e41-3b5a-5bc0-aa10-8e0bb41d1a93</t>
        </is>
      </c>
    </row>
    <row r="134">
      <c r="A134" t="inlineStr">
        <is>
          <t>samsung sdi</t>
        </is>
      </c>
      <c r="B134" t="inlineStr">
        <is>
          <t>HU</t>
        </is>
      </c>
      <c r="C134" t="inlineStr">
        <is>
          <t>Pest County</t>
        </is>
      </c>
      <c r="D134" t="inlineStr">
        <is>
          <t>battery</t>
        </is>
      </c>
      <c r="E134" t="inlineStr">
        <is>
          <t>cell, module_pack</t>
        </is>
      </c>
      <c r="F134" t="n">
        <v>3</v>
      </c>
      <c r="G134" t="inlineStr">
        <is>
          <t>operational</t>
        </is>
      </c>
      <c r="H134" t="n">
        <v>10</v>
      </c>
      <c r="I134" t="n">
        <v>40</v>
      </c>
      <c r="J134" t="n">
        <v>345000000</v>
      </c>
      <c r="K134" t="n">
        <v>1545000000</v>
      </c>
      <c r="L134" t="b">
        <v>0</v>
      </c>
      <c r="M134" t="inlineStr">
        <is>
          <t>2021-02</t>
        </is>
      </c>
      <c r="N134" t="inlineStr">
        <is>
          <t>2022-05</t>
        </is>
      </c>
      <c r="O134" t="inlineStr">
        <is>
          <t>2025-05</t>
        </is>
      </c>
      <c r="P134" t="b">
        <v>0</v>
      </c>
      <c r="Q134" t="b">
        <v>1</v>
      </c>
      <c r="R134" t="b">
        <v>0</v>
      </c>
      <c r="S134">
        <f>HYPERLINK("https://battery-news.de/en/2025/06/03/samsung-sdi-invests-in-renovation-and-expansion-of-its-hungary-plant/", "source")</f>
        <v/>
      </c>
      <c r="T134">
        <f>HYPERLINK("https://battery-news.de/en/2025/06/03/samsung-sdi-invests-in-renovation-and-expansion-of-its-hungary-plant/", "source")</f>
        <v/>
      </c>
      <c r="U134">
        <f>HYPERLINK("https://www.electrive.com/2023/08/08/samsung-sdi-to-produce-46120-cells-for-bmw-in-goed/", "source")</f>
        <v/>
      </c>
      <c r="V134">
        <f>HYPERLINK("https://www.electrive.com/2021/02/24/samsung-sdi-expands-battery-production-in-hungary/", "source")</f>
        <v/>
      </c>
      <c r="W134" t="inlineStr"/>
      <c r="X134">
        <f>HYPERLINK("https://www.electrive.com/2025/05/27/samsung-sdi-paves-way-for-prismatic-batteries-at-hungary-plant/", "source")</f>
        <v/>
      </c>
      <c r="Y134" t="inlineStr">
        <is>
          <t>0f219e41-3b5a-5bc0-aa10-8e0bb41d1a93</t>
        </is>
      </c>
    </row>
    <row r="135">
      <c r="A135" t="inlineStr">
        <is>
          <t>samsung sdi</t>
        </is>
      </c>
      <c r="B135" t="inlineStr">
        <is>
          <t>HU</t>
        </is>
      </c>
      <c r="C135" t="inlineStr">
        <is>
          <t>Pest County</t>
        </is>
      </c>
      <c r="D135" t="inlineStr">
        <is>
          <t>battery</t>
        </is>
      </c>
      <c r="E135" t="inlineStr">
        <is>
          <t>cell, module_pack</t>
        </is>
      </c>
      <c r="F135" t="n">
        <v>4</v>
      </c>
      <c r="G135" t="inlineStr">
        <is>
          <t>announced</t>
        </is>
      </c>
      <c r="H135" t="inlineStr"/>
      <c r="I135" t="inlineStr"/>
      <c r="J135" t="n">
        <v>206224549</v>
      </c>
      <c r="K135" t="n">
        <v>1751224549</v>
      </c>
      <c r="L135" t="b">
        <v>0</v>
      </c>
      <c r="M135" t="inlineStr">
        <is>
          <t>2025-06</t>
        </is>
      </c>
      <c r="N135" t="inlineStr"/>
      <c r="O135" t="inlineStr"/>
      <c r="P135" t="b">
        <v>0</v>
      </c>
      <c r="Q135" t="b">
        <v>0</v>
      </c>
      <c r="R135" t="b">
        <v>0</v>
      </c>
      <c r="S135">
        <f>HYPERLINK("https://battery-news.de/en/2025/06/03/samsung-sdi-invests-in-renovation-and-expansion-of-its-hungary-plant/", "source")</f>
        <v/>
      </c>
      <c r="T135" t="inlineStr"/>
      <c r="U135">
        <f>HYPERLINK("https://battery-news.de/en/2025/06/03/samsung-sdi-invests-in-renovation-and-expansion-of-its-hungary-plant/", "source")</f>
        <v/>
      </c>
      <c r="V135">
        <f>HYPERLINK("https://battery-news.de/en/2025/06/03/samsung-sdi-invests-in-renovation-and-expansion-of-its-hungary-plant/", "source")</f>
        <v/>
      </c>
      <c r="W135" t="inlineStr"/>
      <c r="X135" t="inlineStr"/>
      <c r="Y135" t="inlineStr">
        <is>
          <t>0f219e41-3b5a-5bc0-aa10-8e0bb41d1a93</t>
        </is>
      </c>
    </row>
    <row r="136">
      <c r="A136" t="inlineStr">
        <is>
          <t>scania</t>
        </is>
      </c>
      <c r="B136" t="inlineStr">
        <is>
          <t>SE</t>
        </is>
      </c>
      <c r="C136" t="inlineStr">
        <is>
          <t>Södertälje Municipality</t>
        </is>
      </c>
      <c r="D136" t="inlineStr">
        <is>
          <t>battery</t>
        </is>
      </c>
      <c r="E136" t="inlineStr">
        <is>
          <t>cell, module_pack</t>
        </is>
      </c>
      <c r="F136" t="n">
        <v>1</v>
      </c>
      <c r="G136" t="inlineStr">
        <is>
          <t>announced</t>
        </is>
      </c>
      <c r="H136" t="inlineStr"/>
      <c r="I136" t="inlineStr"/>
      <c r="J136" t="n">
        <v>126092804</v>
      </c>
      <c r="K136" t="n">
        <v>126092804</v>
      </c>
      <c r="L136" t="b">
        <v>0</v>
      </c>
      <c r="M136" t="inlineStr">
        <is>
          <t>2020-11</t>
        </is>
      </c>
      <c r="N136" t="inlineStr"/>
      <c r="O136" t="inlineStr"/>
      <c r="P136" t="b">
        <v>0</v>
      </c>
      <c r="Q136" t="b">
        <v>0</v>
      </c>
      <c r="R136" t="b">
        <v>0</v>
      </c>
      <c r="S136">
        <f>HYPERLINK("https://batteryindustry.net/scania-invests-in-battery-assembly-plant-builds-battery-laboratory/?utm_source=chatgpt.com", "source")</f>
        <v/>
      </c>
      <c r="T136" t="inlineStr"/>
      <c r="U136">
        <f>HYPERLINK("https://www.prnewswire.com/news-releases/landmark-moment-as-scanias-battery-assembly-starts-operations-301917590.html?utm_source=chatgpt.com", "source")</f>
        <v/>
      </c>
      <c r="V136">
        <f>HYPERLINK("https://batteryindustry.net/scania-invests-in-battery-assembly-plant-builds-battery-laboratory/?utm_source=chatgpt.com", "source")</f>
        <v/>
      </c>
      <c r="W136" t="inlineStr"/>
      <c r="X136" t="inlineStr"/>
      <c r="Y136" t="inlineStr">
        <is>
          <t>97d948e4-c4fe-502e-982d-36a31e10e099</t>
        </is>
      </c>
    </row>
    <row r="137">
      <c r="A137" t="inlineStr">
        <is>
          <t>seat</t>
        </is>
      </c>
      <c r="B137" t="inlineStr">
        <is>
          <t>ES</t>
        </is>
      </c>
      <c r="C137" t="inlineStr">
        <is>
          <t>Martorell</t>
        </is>
      </c>
      <c r="D137" t="inlineStr">
        <is>
          <t>battery</t>
        </is>
      </c>
      <c r="E137" t="inlineStr">
        <is>
          <t>module_pack</t>
        </is>
      </c>
      <c r="F137" t="n">
        <v>1</v>
      </c>
      <c r="G137" t="inlineStr">
        <is>
          <t>operational</t>
        </is>
      </c>
      <c r="H137" t="n">
        <v>15</v>
      </c>
      <c r="I137" t="n">
        <v>15</v>
      </c>
      <c r="J137" t="n">
        <v>300000000</v>
      </c>
      <c r="K137" t="n">
        <v>300000000</v>
      </c>
      <c r="L137" t="b">
        <v>0</v>
      </c>
      <c r="M137" t="inlineStr">
        <is>
          <t>2023-07</t>
        </is>
      </c>
      <c r="N137" t="inlineStr">
        <is>
          <t>2023-07</t>
        </is>
      </c>
      <c r="O137" t="inlineStr">
        <is>
          <t>2025-03</t>
        </is>
      </c>
      <c r="P137" t="b">
        <v>0</v>
      </c>
      <c r="Q137" t="b">
        <v>0</v>
      </c>
      <c r="R137" t="b">
        <v>0</v>
      </c>
      <c r="S137">
        <f>HYPERLINK("https://www.electrive.com/2025/05/22/seat-ev-production-in-spain-takes-shape/", "source")</f>
        <v/>
      </c>
      <c r="T137">
        <f>HYPERLINK("https://www.electrive.com/2025/05/22/seat-ev-production-in-spain-takes-shape/", "source")</f>
        <v/>
      </c>
      <c r="U137">
        <f>HYPERLINK("https://www.electrive.com/2025/05/22/seat-ev-production-in-spain-takes-shape/", "source")</f>
        <v/>
      </c>
      <c r="V137">
        <f>HYPERLINK("https://www.electrive.com/2023/07/18/vw-invests-300-million-euros-in-battery-assembly-at-seat/", "source")</f>
        <v/>
      </c>
      <c r="W137">
        <f>HYPERLINK("https://www.investinspain.org/content/icex-invest/en/noticias-main/2023/seat-martorell.html?utm_source=chatgpt.com", "source")</f>
        <v/>
      </c>
      <c r="X137">
        <f>HYPERLINK("https://cincodias.elpais.com/companias/2025-03-13/el-consejero-delegado-de-seat-wayne-griffiths-pone-en-valor-sus-inversiones-en-electrificacion-hemos-hecho-los-deberes.html?utm_source=chatgpt.com", "source")</f>
        <v/>
      </c>
      <c r="Y137" t="inlineStr">
        <is>
          <t>ba472894-9392-585d-b243-64e99534ae6c</t>
        </is>
      </c>
    </row>
    <row r="138">
      <c r="A138" t="inlineStr">
        <is>
          <t>siemens</t>
        </is>
      </c>
      <c r="B138" t="inlineStr">
        <is>
          <t>DE</t>
        </is>
      </c>
      <c r="C138" t="inlineStr">
        <is>
          <t>Luhe-Wildenau, Markt</t>
        </is>
      </c>
      <c r="D138" t="inlineStr">
        <is>
          <t>battery</t>
        </is>
      </c>
      <c r="E138" t="inlineStr">
        <is>
          <t>module_pack</t>
        </is>
      </c>
      <c r="F138" t="n">
        <v>1</v>
      </c>
      <c r="G138" t="inlineStr">
        <is>
          <t>under construction</t>
        </is>
      </c>
      <c r="H138" t="n">
        <v>0.12</v>
      </c>
      <c r="I138" t="n">
        <v>0.12</v>
      </c>
      <c r="J138" t="n">
        <v>22000000</v>
      </c>
      <c r="K138" t="n">
        <v>22000000</v>
      </c>
      <c r="L138" t="b">
        <v>0</v>
      </c>
      <c r="M138" t="inlineStr">
        <is>
          <t>2025-09</t>
        </is>
      </c>
      <c r="N138" t="inlineStr">
        <is>
          <t>2025-09</t>
        </is>
      </c>
      <c r="O138" t="inlineStr">
        <is>
          <t>2028-09</t>
        </is>
      </c>
      <c r="P138" t="b">
        <v>0</v>
      </c>
      <c r="Q138" t="b">
        <v>0</v>
      </c>
      <c r="R138" t="b">
        <v>1</v>
      </c>
      <c r="S138">
        <f>HYPERLINK("https://press.siemens.com/global/en/pressrelease/sustainable-mobility-siemens-mobility-build-new-battery-system-production-bavaria?utm_source=chatgpt.com", "source")</f>
        <v/>
      </c>
      <c r="T138">
        <f>HYPERLINK("https://press.siemens.com/global/en/pressrelease/sustainable-mobility-siemens-mobility-build-new-battery-system-production-bavaria?utm_source=chatgpt.com", "source")</f>
        <v/>
      </c>
      <c r="U138">
        <f>HYPERLINK("https://press.siemens.com/global/en/pressrelease/sustainable-mobility-siemens-mobility-build-new-battery-system-production-bavaria?utm_source=chatgpt.com", "source")</f>
        <v/>
      </c>
      <c r="V138">
        <f>HYPERLINK("https://press.siemens.com/global/en/pressrelease/sustainable-mobility-siemens-mobility-build-new-battery-system-production-bavaria?utm_source=chatgpt.com", "source")</f>
        <v/>
      </c>
      <c r="W138">
        <f>HYPERLINK("https://press.siemens.com/global/en/pressrelease/sustainable-mobility-siemens-mobility-build-new-battery-system-production-bavaria?utm_source=chatgpt.com", "source")</f>
        <v/>
      </c>
      <c r="X138" t="inlineStr"/>
      <c r="Y138" t="inlineStr">
        <is>
          <t>ce63b86d-4d3d-5ff6-bb25-4f1cd13dbf53</t>
        </is>
      </c>
    </row>
    <row r="139">
      <c r="A139" t="inlineStr">
        <is>
          <t>siemens</t>
        </is>
      </c>
      <c r="B139" t="inlineStr">
        <is>
          <t>NO</t>
        </is>
      </c>
      <c r="C139" t="inlineStr">
        <is>
          <t>Trøndelag</t>
        </is>
      </c>
      <c r="D139" t="inlineStr">
        <is>
          <t>battery</t>
        </is>
      </c>
      <c r="E139" t="inlineStr">
        <is>
          <t>module_pack</t>
        </is>
      </c>
      <c r="F139" t="n">
        <v>1</v>
      </c>
      <c r="G139" t="inlineStr">
        <is>
          <t>operational</t>
        </is>
      </c>
      <c r="H139" t="n">
        <v>0.3</v>
      </c>
      <c r="I139" t="n">
        <v>0.3</v>
      </c>
      <c r="J139" t="n">
        <v>12000000</v>
      </c>
      <c r="K139" t="n">
        <v>12000000</v>
      </c>
      <c r="L139" t="b">
        <v>1</v>
      </c>
      <c r="M139" t="inlineStr">
        <is>
          <t>2016-01</t>
        </is>
      </c>
      <c r="N139" t="inlineStr">
        <is>
          <t>2016-01</t>
        </is>
      </c>
      <c r="O139" t="inlineStr">
        <is>
          <t>2019-01</t>
        </is>
      </c>
      <c r="P139" t="b">
        <v>1</v>
      </c>
      <c r="Q139" t="b">
        <v>1</v>
      </c>
      <c r="R139" t="b">
        <v>0</v>
      </c>
      <c r="S139">
        <f>HYPERLINK("https://www.electrive.com/2019/01/29/norway-siemens-opens-battery-factory-for-ships/", "source")</f>
        <v/>
      </c>
      <c r="T139">
        <f>HYPERLINK("https://www.electrive.com/2019/01/29/norway-siemens-opens-battery-factory-for-ships/", "source")</f>
        <v/>
      </c>
      <c r="U139">
        <f>HYPERLINK("https://www.electrive.com/2019/01/29/norway-siemens-opens-battery-factory-for-ships/", "source")</f>
        <v/>
      </c>
      <c r="V139" t="inlineStr"/>
      <c r="W139" t="inlineStr"/>
      <c r="X139">
        <f>HYPERLINK("https://www.electrive.com/2019/01/29/norway-siemens-opens-battery-factory-for-ships/", "source")</f>
        <v/>
      </c>
      <c r="Y139" t="inlineStr">
        <is>
          <t>c469939c-adf2-5135-adc0-d99b84370eb8</t>
        </is>
      </c>
    </row>
    <row r="140">
      <c r="A140" t="inlineStr">
        <is>
          <t>sk innovation</t>
        </is>
      </c>
      <c r="B140" t="inlineStr">
        <is>
          <t>HU</t>
        </is>
      </c>
      <c r="C140" t="inlineStr">
        <is>
          <t>Fejér</t>
        </is>
      </c>
      <c r="D140" t="inlineStr">
        <is>
          <t>battery</t>
        </is>
      </c>
      <c r="E140" t="inlineStr">
        <is>
          <t>cell, eam</t>
        </is>
      </c>
      <c r="F140" t="n">
        <v>1</v>
      </c>
      <c r="G140" t="inlineStr">
        <is>
          <t>operational</t>
        </is>
      </c>
      <c r="H140" t="n">
        <v>30</v>
      </c>
      <c r="I140" t="n">
        <v>30</v>
      </c>
      <c r="J140" t="n">
        <v>1623000000</v>
      </c>
      <c r="K140" t="n">
        <v>1623000000</v>
      </c>
      <c r="L140" t="b">
        <v>0</v>
      </c>
      <c r="M140" t="inlineStr">
        <is>
          <t>2021-01</t>
        </is>
      </c>
      <c r="N140" t="inlineStr">
        <is>
          <t>2022-03</t>
        </is>
      </c>
      <c r="O140" t="inlineStr">
        <is>
          <t>2024-11</t>
        </is>
      </c>
      <c r="P140" t="b">
        <v>0</v>
      </c>
      <c r="Q140" t="b">
        <v>0</v>
      </c>
      <c r="R140" t="b">
        <v>0</v>
      </c>
      <c r="S140">
        <f>HYPERLINK("https://skinnonews.com/global/archives/19511", "source")</f>
        <v/>
      </c>
      <c r="T140">
        <f>HYPERLINK("https://skinnonews.com/global/archives/19511", "source")</f>
        <v/>
      </c>
      <c r="U140">
        <f>HYPERLINK("https://www.electrive.com/2022/03/23/sk-on-receives-funding-for-battery-cell-plant-in-hungary/", "source")</f>
        <v/>
      </c>
      <c r="V140">
        <f>HYPERLINK("https://www.electrive.com/2021/01/29/sk-innovation-announces-third-battery-cell-factory-in-hungary/", "source")</f>
        <v/>
      </c>
      <c r="W140">
        <f>HYPERLINK("https://www.electrive.com/2022/03/23/sk-on-receives-funding-for-battery-cell-plant-in-hungary/", "source")</f>
        <v/>
      </c>
      <c r="X140">
        <f>HYPERLINK("https://skinnonews.com/global/archives/19511", "source")</f>
        <v/>
      </c>
      <c r="Y140" t="inlineStr">
        <is>
          <t>379aa2f3-9878-59a0-9713-d9825bfb28aa</t>
        </is>
      </c>
    </row>
    <row r="141">
      <c r="A141" t="inlineStr">
        <is>
          <t>sk innovation</t>
        </is>
      </c>
      <c r="B141" t="inlineStr">
        <is>
          <t>HU</t>
        </is>
      </c>
      <c r="C141" t="inlineStr">
        <is>
          <t>Komárom-Esztergom</t>
        </is>
      </c>
      <c r="D141" t="inlineStr">
        <is>
          <t>battery</t>
        </is>
      </c>
      <c r="E141" t="inlineStr">
        <is>
          <t>cell, eam</t>
        </is>
      </c>
      <c r="F141" t="n">
        <v>1</v>
      </c>
      <c r="G141" t="inlineStr">
        <is>
          <t>operational</t>
        </is>
      </c>
      <c r="H141" t="n">
        <v>7.5</v>
      </c>
      <c r="I141" t="n">
        <v>7.5</v>
      </c>
      <c r="J141" t="n">
        <v>603072878</v>
      </c>
      <c r="K141" t="n">
        <v>603072878</v>
      </c>
      <c r="L141" t="b">
        <v>0</v>
      </c>
      <c r="M141" t="inlineStr">
        <is>
          <t>2017-11</t>
        </is>
      </c>
      <c r="N141" t="inlineStr">
        <is>
          <t>2018-03</t>
        </is>
      </c>
      <c r="O141" t="inlineStr">
        <is>
          <t>2021-01</t>
        </is>
      </c>
      <c r="P141" t="b">
        <v>0</v>
      </c>
      <c r="Q141" t="b">
        <v>0</v>
      </c>
      <c r="R141" t="b">
        <v>0</v>
      </c>
      <c r="S141">
        <f>HYPERLINK("https://skinnonews.com/global/archives/19511", "source")</f>
        <v/>
      </c>
      <c r="T141">
        <f>HYPERLINK("https://skinnonews.com/global/archives/19511", "source")</f>
        <v/>
      </c>
      <c r="U141">
        <f>HYPERLINK("https://www.electrive.com/2018/03/12/sk-innovation-kicks-off-construction-of-hungarian-plant/", "source")</f>
        <v/>
      </c>
      <c r="V141">
        <f>HYPERLINK("https://www.electrive.com/2017/11/29/sk-innovation-plans-battery-production-hungary/", "source")</f>
        <v/>
      </c>
      <c r="W141">
        <f>HYPERLINK("https://www.electrive.com/2018/03/12/sk-innovation-kicks-off-construction-of-hungarian-plant/", "source")</f>
        <v/>
      </c>
      <c r="X141">
        <f>HYPERLINK("https://www.electrive.com/2021/01/29/sk-innovation-announces-third-battery-cell-factory-in-hungary/", "source")</f>
        <v/>
      </c>
      <c r="Y141" t="inlineStr">
        <is>
          <t>fa6119f8-7fc1-5d38-80f0-181d346ccc03</t>
        </is>
      </c>
    </row>
    <row r="142">
      <c r="A142" t="inlineStr">
        <is>
          <t>sk innovation</t>
        </is>
      </c>
      <c r="B142" t="inlineStr">
        <is>
          <t>HU</t>
        </is>
      </c>
      <c r="C142" t="inlineStr">
        <is>
          <t>Komárom-Esztergom</t>
        </is>
      </c>
      <c r="D142" t="inlineStr">
        <is>
          <t>battery</t>
        </is>
      </c>
      <c r="E142" t="inlineStr">
        <is>
          <t>cell, eam</t>
        </is>
      </c>
      <c r="F142" t="n">
        <v>2</v>
      </c>
      <c r="G142" t="inlineStr">
        <is>
          <t>operational</t>
        </is>
      </c>
      <c r="H142" t="n">
        <v>10</v>
      </c>
      <c r="I142" t="n">
        <v>17.5</v>
      </c>
      <c r="J142" t="n">
        <v>702153270</v>
      </c>
      <c r="K142" t="n">
        <v>1305226148</v>
      </c>
      <c r="L142" t="b">
        <v>0</v>
      </c>
      <c r="M142" t="inlineStr">
        <is>
          <t>2021-01</t>
        </is>
      </c>
      <c r="N142" t="inlineStr">
        <is>
          <t>2021-01</t>
        </is>
      </c>
      <c r="O142" t="inlineStr">
        <is>
          <t>2024-11</t>
        </is>
      </c>
      <c r="P142" t="b">
        <v>0</v>
      </c>
      <c r="Q142" t="b">
        <v>0</v>
      </c>
      <c r="R142" t="b">
        <v>0</v>
      </c>
      <c r="S142">
        <f>HYPERLINK("https://skinnonews.com/global/archives/19511", "source")</f>
        <v/>
      </c>
      <c r="T142">
        <f>HYPERLINK("https://skinnonews.com/global/archives/19511", "source")</f>
        <v/>
      </c>
      <c r="U142">
        <f>HYPERLINK("https://www.electrive.com/2021/07/20/sk-innovation-subsidized-for-hungarian-battery-plant/", "source")</f>
        <v/>
      </c>
      <c r="V142">
        <f>HYPERLINK("https://www.electrive.com/2021/01/29/sk-innovation-announces-third-battery-cell-factory-in-hungary/", "source")</f>
        <v/>
      </c>
      <c r="W142">
        <f>HYPERLINK("https://www.electrive.com/2021/01/29/sk-innovation-announces-third-battery-cell-factory-in-hungary/", "source")</f>
        <v/>
      </c>
      <c r="X142">
        <f>HYPERLINK("https://skinnonews.com/global/archives/19511", "source")</f>
        <v/>
      </c>
      <c r="Y142" t="inlineStr">
        <is>
          <t>fa6119f8-7fc1-5d38-80f0-181d346ccc03</t>
        </is>
      </c>
    </row>
    <row r="143">
      <c r="A143" t="inlineStr">
        <is>
          <t>skoda</t>
        </is>
      </c>
      <c r="B143" t="inlineStr">
        <is>
          <t>CZ</t>
        </is>
      </c>
      <c r="C143" t="inlineStr">
        <is>
          <t>Mladá Boleslav</t>
        </is>
      </c>
      <c r="D143" t="inlineStr">
        <is>
          <t>battery</t>
        </is>
      </c>
      <c r="E143" t="inlineStr">
        <is>
          <t>module_pack</t>
        </is>
      </c>
      <c r="F143" t="n">
        <v>1</v>
      </c>
      <c r="G143" t="inlineStr">
        <is>
          <t>operational</t>
        </is>
      </c>
      <c r="H143" t="n">
        <v>12.5</v>
      </c>
      <c r="I143" t="n">
        <v>12.5</v>
      </c>
      <c r="J143" t="n">
        <v>130000000</v>
      </c>
      <c r="K143" t="n">
        <v>130000000</v>
      </c>
      <c r="L143" t="b">
        <v>0</v>
      </c>
      <c r="M143" t="inlineStr">
        <is>
          <t>2019-05</t>
        </is>
      </c>
      <c r="N143" t="inlineStr">
        <is>
          <t>2019-05</t>
        </is>
      </c>
      <c r="O143" t="inlineStr">
        <is>
          <t>2022-05</t>
        </is>
      </c>
      <c r="P143" t="b">
        <v>1</v>
      </c>
      <c r="Q143" t="b">
        <v>1</v>
      </c>
      <c r="R143" t="b">
        <v>0</v>
      </c>
      <c r="S143">
        <f>HYPERLINK("https://www.electrive.com/2022/05/18/skoda-is-assembling-meb-battery-systems-in-mlada-boleslav/", "source")</f>
        <v/>
      </c>
      <c r="T143">
        <f>HYPERLINK("https://www.electrive.com/2022/05/18/skoda-is-assembling-meb-battery-systems-in-mlada-boleslav/", "source")</f>
        <v/>
      </c>
      <c r="U143">
        <f>HYPERLINK("https://insideevs.com/news/586463/skoda-production-meb-battery-systems/?utm_source=chatgpt.com", "source")</f>
        <v/>
      </c>
      <c r="V143" t="inlineStr"/>
      <c r="W143" t="inlineStr"/>
      <c r="X143">
        <f>HYPERLINK("https://www.electrive.com/2022/05/18/skoda-is-assembling-meb-battery-systems-in-mlada-boleslav/", "source")</f>
        <v/>
      </c>
      <c r="Y143" t="inlineStr">
        <is>
          <t>5e2cf123-6593-59dc-96bc-7c90f54f75b0</t>
        </is>
      </c>
    </row>
    <row r="144">
      <c r="A144" t="inlineStr">
        <is>
          <t>skoda</t>
        </is>
      </c>
      <c r="B144" t="inlineStr">
        <is>
          <t>CZ</t>
        </is>
      </c>
      <c r="C144" t="inlineStr">
        <is>
          <t>Mladá Boleslav</t>
        </is>
      </c>
      <c r="D144" t="inlineStr">
        <is>
          <t>battery</t>
        </is>
      </c>
      <c r="E144" t="inlineStr">
        <is>
          <t>module_pack</t>
        </is>
      </c>
      <c r="F144" t="n">
        <v>2</v>
      </c>
      <c r="G144" t="inlineStr">
        <is>
          <t>operational</t>
        </is>
      </c>
      <c r="H144" t="n">
        <v>14.875</v>
      </c>
      <c r="I144" t="n">
        <v>27.375</v>
      </c>
      <c r="J144" t="n">
        <v>154700000</v>
      </c>
      <c r="K144" t="n">
        <v>284700000</v>
      </c>
      <c r="L144" t="b">
        <v>1</v>
      </c>
      <c r="M144" t="inlineStr">
        <is>
          <t>2022-05</t>
        </is>
      </c>
      <c r="N144" t="inlineStr">
        <is>
          <t>2022-05</t>
        </is>
      </c>
      <c r="O144" t="inlineStr">
        <is>
          <t>2024-12</t>
        </is>
      </c>
      <c r="P144" t="b">
        <v>0</v>
      </c>
      <c r="Q144" t="b">
        <v>1</v>
      </c>
      <c r="R144" t="b">
        <v>0</v>
      </c>
      <c r="S144">
        <f>HYPERLINK("https://www.eenewseurope.com/en/skoda-tops-1m-battery-systems-expands-plant/?utm_source=chatgpt.com", "source")</f>
        <v/>
      </c>
      <c r="T144">
        <f>HYPERLINK("https://www.eenewseurope.com/en/skoda-tops-1m-battery-systems-expands-plant/?utm_source=chatgpt.com", "source")</f>
        <v/>
      </c>
      <c r="U144">
        <f>HYPERLINK("https://www.eenewseurope.com/en/skoda-tops-1m-battery-systems-expands-plant/?utm_source=chatgpt.com", "source")</f>
        <v/>
      </c>
      <c r="V144">
        <f>HYPERLINK("https://www.electrive.com/2022/05/18/skoda-is-assembling-meb-battery-systems-in-mlada-boleslav/", "source")</f>
        <v/>
      </c>
      <c r="W144" t="inlineStr"/>
      <c r="X144">
        <f>HYPERLINK("https://www.eenewseurope.com/en/skoda-tops-1m-battery-systems-expands-plant/?utm_source=chatgpt.com", "source")</f>
        <v/>
      </c>
      <c r="Y144" t="inlineStr">
        <is>
          <t>5e2cf123-6593-59dc-96bc-7c90f54f75b0</t>
        </is>
      </c>
    </row>
    <row r="145">
      <c r="A145" t="inlineStr">
        <is>
          <t>solarwatt</t>
        </is>
      </c>
      <c r="B145" t="inlineStr">
        <is>
          <t>DE</t>
        </is>
      </c>
      <c r="C145" t="inlineStr">
        <is>
          <t>Dresden</t>
        </is>
      </c>
      <c r="D145" t="inlineStr">
        <is>
          <t>battery</t>
        </is>
      </c>
      <c r="E145" t="inlineStr">
        <is>
          <t>module_pack</t>
        </is>
      </c>
      <c r="F145" t="n">
        <v>1</v>
      </c>
      <c r="G145" t="inlineStr">
        <is>
          <t>operational</t>
        </is>
      </c>
      <c r="H145" t="inlineStr"/>
      <c r="I145" t="inlineStr"/>
      <c r="J145" t="n">
        <v>35000000</v>
      </c>
      <c r="K145" t="n">
        <v>35000000</v>
      </c>
      <c r="L145" t="b">
        <v>0</v>
      </c>
      <c r="M145" t="inlineStr"/>
      <c r="N145" t="inlineStr"/>
      <c r="O145" t="inlineStr"/>
      <c r="P145" t="b">
        <v>0</v>
      </c>
      <c r="Q145" t="b">
        <v>0</v>
      </c>
      <c r="R145" t="b">
        <v>0</v>
      </c>
      <c r="S145">
        <f>HYPERLINK("https://www.pv-magazine.com/2021/09/23/solarwatt-brings-new-module-and-battery-factories-online-in-germany/", "source")</f>
        <v/>
      </c>
      <c r="T145" t="inlineStr"/>
      <c r="U145">
        <f>HYPERLINK("https://www.pv-magazine.com/2021/09/23/solarwatt-brings-new-module-and-battery-factories-online-in-germany/", "source")</f>
        <v/>
      </c>
      <c r="V145" t="inlineStr"/>
      <c r="W145" t="inlineStr"/>
      <c r="X145" t="inlineStr"/>
      <c r="Y145" t="inlineStr">
        <is>
          <t>2ac1222f-f651-5375-9804-ace3d5bf15f7</t>
        </is>
      </c>
    </row>
    <row r="146">
      <c r="A146" t="inlineStr">
        <is>
          <t>stellantis</t>
        </is>
      </c>
      <c r="B146" t="inlineStr">
        <is>
          <t>IT</t>
        </is>
      </c>
      <c r="C146" t="inlineStr">
        <is>
          <t>Torino</t>
        </is>
      </c>
      <c r="D146" t="inlineStr">
        <is>
          <t>battery</t>
        </is>
      </c>
      <c r="E146" t="inlineStr">
        <is>
          <t>cell, module_pack</t>
        </is>
      </c>
      <c r="F146" t="n">
        <v>1</v>
      </c>
      <c r="G146" t="inlineStr">
        <is>
          <t>operational</t>
        </is>
      </c>
      <c r="H146" t="inlineStr"/>
      <c r="I146" t="inlineStr"/>
      <c r="J146" t="n">
        <v>40000000</v>
      </c>
      <c r="K146" t="n">
        <v>40000000</v>
      </c>
      <c r="L146" t="b">
        <v>0</v>
      </c>
      <c r="M146" t="inlineStr"/>
      <c r="N146" t="inlineStr"/>
      <c r="O146" t="inlineStr"/>
      <c r="P146" t="b">
        <v>0</v>
      </c>
      <c r="Q146" t="b">
        <v>0</v>
      </c>
      <c r="R146" t="b">
        <v>0</v>
      </c>
      <c r="S146">
        <f>HYPERLINK("https://www.electrive.com/2023/11/24/stellantis-inaugurates-recycling-centre-in-turin/", "source")</f>
        <v/>
      </c>
      <c r="T146" t="inlineStr"/>
      <c r="U146">
        <f>HYPERLINK("https://www.electrive.com/2023/11/24/stellantis-inaugurates-recycling-centre-in-turin/", "source")</f>
        <v/>
      </c>
      <c r="V146" t="inlineStr"/>
      <c r="W146" t="inlineStr"/>
      <c r="X146" t="inlineStr"/>
      <c r="Y146" t="inlineStr">
        <is>
          <t>c040ca92-bc29-50b8-99a8-319301a44e91</t>
        </is>
      </c>
    </row>
    <row r="147">
      <c r="A147" t="inlineStr">
        <is>
          <t>stellantis</t>
        </is>
      </c>
      <c r="B147" t="inlineStr">
        <is>
          <t>IT</t>
        </is>
      </c>
      <c r="C147" t="inlineStr">
        <is>
          <t>Torino</t>
        </is>
      </c>
      <c r="D147" t="inlineStr">
        <is>
          <t>battery</t>
        </is>
      </c>
      <c r="E147" t="inlineStr">
        <is>
          <t>cell, module_pack</t>
        </is>
      </c>
      <c r="F147" t="n">
        <v>2</v>
      </c>
      <c r="G147" t="inlineStr">
        <is>
          <t>operational</t>
        </is>
      </c>
      <c r="H147" t="inlineStr"/>
      <c r="I147" t="inlineStr"/>
      <c r="J147" t="n">
        <v>0</v>
      </c>
      <c r="K147" t="n">
        <v>40000000</v>
      </c>
      <c r="L147" t="b">
        <v>0</v>
      </c>
      <c r="M147" t="inlineStr"/>
      <c r="N147" t="inlineStr"/>
      <c r="O147" t="inlineStr"/>
      <c r="P147" t="b">
        <v>0</v>
      </c>
      <c r="Q147" t="b">
        <v>0</v>
      </c>
      <c r="R147" t="b">
        <v>0</v>
      </c>
      <c r="S147">
        <f>HYPERLINK("https://www.electrive.com/2023/09/08/stellantis-opens-battery-tech-centre-in-turin/", "source")</f>
        <v/>
      </c>
      <c r="T147" t="inlineStr"/>
      <c r="U147">
        <f>HYPERLINK("https://www.electrive.com/2023/09/08/stellantis-opens-battery-tech-centre-in-turin/", "source")</f>
        <v/>
      </c>
      <c r="V147" t="inlineStr"/>
      <c r="W147" t="inlineStr"/>
      <c r="X147" t="inlineStr"/>
      <c r="Y147" t="inlineStr">
        <is>
          <t>c040ca92-bc29-50b8-99a8-319301a44e91</t>
        </is>
      </c>
    </row>
    <row r="148">
      <c r="A148" t="inlineStr">
        <is>
          <t>stellantis catl</t>
        </is>
      </c>
      <c r="B148" t="inlineStr">
        <is>
          <t>ES</t>
        </is>
      </c>
      <c r="C148" t="inlineStr">
        <is>
          <t>Zaragoza Municipality</t>
        </is>
      </c>
      <c r="D148" t="inlineStr">
        <is>
          <t>battery</t>
        </is>
      </c>
      <c r="E148" t="inlineStr">
        <is>
          <t>cell</t>
        </is>
      </c>
      <c r="F148" t="n">
        <v>1</v>
      </c>
      <c r="G148" t="inlineStr">
        <is>
          <t>announced</t>
        </is>
      </c>
      <c r="H148" t="n">
        <v>50</v>
      </c>
      <c r="I148" t="n">
        <v>50</v>
      </c>
      <c r="J148" t="n">
        <v>4100000000</v>
      </c>
      <c r="K148" t="n">
        <v>4100000000</v>
      </c>
      <c r="L148" t="b">
        <v>0</v>
      </c>
      <c r="M148" t="inlineStr">
        <is>
          <t>2024-01</t>
        </is>
      </c>
      <c r="N148" t="inlineStr"/>
      <c r="O148" t="inlineStr"/>
      <c r="P148" t="b">
        <v>0</v>
      </c>
      <c r="Q148" t="b">
        <v>0</v>
      </c>
      <c r="R148" t="b">
        <v>0</v>
      </c>
      <c r="S148">
        <f>HYPERLINK("https://www.stellantis.com/en/news/press-releases/2024/december/stellantis-and-calt-to-invest-up-to-4-1-billion-in-joint-venture-for-large-scale-lfp-battery-plant-in-spain", "source")</f>
        <v/>
      </c>
      <c r="T148">
        <f>HYPERLINK("https://www.stellantis.com/en/news/press-releases/2024/december/stellantis-and-calt-to-invest-up-to-4-1-billion-in-joint-venture-for-large-scale-lfp-battery-plant-in-spain", "source")</f>
        <v/>
      </c>
      <c r="U148">
        <f>HYPERLINK("https://www.stellantis.com/en/news/press-releases/2024/december/stellantis-and-calt-to-invest-up-to-4-1-billion-in-joint-venture-for-large-scale-lfp-battery-plant-in-spain", "source")</f>
        <v/>
      </c>
      <c r="V148">
        <f>HYPERLINK("https://www.electrive.com/2024/01/08/stellantis-likely-planning-another-european-battery-factory-without-acc/", "source")</f>
        <v/>
      </c>
      <c r="W148" t="inlineStr"/>
      <c r="X148" t="inlineStr"/>
      <c r="Y148" t="inlineStr">
        <is>
          <t>7ce5d296-0111-5241-a7da-da4e2261df93</t>
        </is>
      </c>
    </row>
    <row r="149">
      <c r="A149" t="inlineStr">
        <is>
          <t>svolt</t>
        </is>
      </c>
      <c r="B149" t="inlineStr">
        <is>
          <t>DE</t>
        </is>
      </c>
      <c r="C149" t="inlineStr">
        <is>
          <t>Lauchhammer</t>
        </is>
      </c>
      <c r="D149" t="inlineStr">
        <is>
          <t>battery</t>
        </is>
      </c>
      <c r="E149" t="inlineStr">
        <is>
          <t>cell, module_pack</t>
        </is>
      </c>
      <c r="F149" t="n">
        <v>1</v>
      </c>
      <c r="G149" t="inlineStr">
        <is>
          <t>cancelled</t>
        </is>
      </c>
      <c r="H149" t="n">
        <v>16</v>
      </c>
      <c r="I149" t="n">
        <v>16</v>
      </c>
      <c r="J149" t="n">
        <v>1280000000</v>
      </c>
      <c r="K149" t="n">
        <v>1280000000</v>
      </c>
      <c r="L149" t="b">
        <v>1</v>
      </c>
      <c r="M149" t="inlineStr">
        <is>
          <t>2022-09</t>
        </is>
      </c>
      <c r="N149" t="inlineStr">
        <is>
          <t>2022-09</t>
        </is>
      </c>
      <c r="O149" t="inlineStr">
        <is>
          <t>2025-09</t>
        </is>
      </c>
      <c r="P149" t="b">
        <v>0</v>
      </c>
      <c r="Q149" t="b">
        <v>0</v>
      </c>
      <c r="R149" t="b">
        <v>1</v>
      </c>
      <c r="S149">
        <f>HYPERLINK("https://www.electrive.com/2024/05/27/svolt-will-not-build-battery-factory-in-germany/", "source")</f>
        <v/>
      </c>
      <c r="T149">
        <f>HYPERLINK("https://www.electrive.com/2024/05/27/svolt-will-not-build-battery-factory-in-germany/", "source")</f>
        <v/>
      </c>
      <c r="U149">
        <f>HYPERLINK("https://www.electrive.com/2024/05/27/svolt-will-not-build-battery-factory-in-germany/", "source")</f>
        <v/>
      </c>
      <c r="V149">
        <f>HYPERLINK("https://www.electrive.com/2022/09/10/svolt-confirms-2nd-battery-cell-plant-in-germany/", "source")</f>
        <v/>
      </c>
      <c r="W149">
        <f>HYPERLINK("https://www.electrive.com/2022/09/10/svolt-confirms-2nd-battery-cell-plant-in-germany/", "source")</f>
        <v/>
      </c>
      <c r="X149" t="inlineStr"/>
      <c r="Y149" t="inlineStr">
        <is>
          <t>2f5c4ac8-bff9-5382-92db-8dd111c20dc3</t>
        </is>
      </c>
    </row>
    <row r="150">
      <c r="A150" t="inlineStr">
        <is>
          <t>svolt</t>
        </is>
      </c>
      <c r="B150" t="inlineStr">
        <is>
          <t>DE</t>
        </is>
      </c>
      <c r="C150" t="inlineStr">
        <is>
          <t>Überherrn</t>
        </is>
      </c>
      <c r="D150" t="inlineStr">
        <is>
          <t>battery</t>
        </is>
      </c>
      <c r="E150" t="inlineStr">
        <is>
          <t>cell, module_pack</t>
        </is>
      </c>
      <c r="F150" t="n">
        <v>1</v>
      </c>
      <c r="G150" t="inlineStr">
        <is>
          <t>cancelled</t>
        </is>
      </c>
      <c r="H150" t="n">
        <v>24</v>
      </c>
      <c r="I150" t="n">
        <v>24</v>
      </c>
      <c r="J150" t="n">
        <v>3900000000</v>
      </c>
      <c r="K150" t="n">
        <v>3900000000</v>
      </c>
      <c r="L150" t="b">
        <v>0</v>
      </c>
      <c r="M150" t="inlineStr">
        <is>
          <t>2020-11</t>
        </is>
      </c>
      <c r="N150" t="inlineStr"/>
      <c r="O150" t="inlineStr"/>
      <c r="P150" t="b">
        <v>0</v>
      </c>
      <c r="Q150" t="b">
        <v>0</v>
      </c>
      <c r="R150" t="b">
        <v>0</v>
      </c>
      <c r="S150">
        <f>HYPERLINK("https://www.electrive.com/2024/10/25/svolt-considers-dropping-plans-for-saarland-plants/", "source")</f>
        <v/>
      </c>
      <c r="T150">
        <f>HYPERLINK("https://www.electrive.com/2021/09/17/svolt-expands-with-a-third-plant-in-china/", "source")</f>
        <v/>
      </c>
      <c r="U150">
        <f>HYPERLINK("https://www.electrive.com/2024/10/25/svolt-considers-dropping-plans-for-saarland-plants/", "source")</f>
        <v/>
      </c>
      <c r="V150">
        <f>HYPERLINK("https://www.electrive.com/2020/11/17/svolt-to-build-24-gwh-battery-factory-in-german-saarland/", "source")</f>
        <v/>
      </c>
      <c r="W150" t="inlineStr"/>
      <c r="X150" t="inlineStr"/>
      <c r="Y150" t="inlineStr">
        <is>
          <t>0780c801-d8cf-576f-9f36-09884a469de3</t>
        </is>
      </c>
    </row>
    <row r="151">
      <c r="A151" t="inlineStr">
        <is>
          <t>tesla</t>
        </is>
      </c>
      <c r="B151" t="inlineStr">
        <is>
          <t>DE</t>
        </is>
      </c>
      <c r="C151" t="inlineStr">
        <is>
          <t>Grünheide (Mark)</t>
        </is>
      </c>
      <c r="D151" t="inlineStr">
        <is>
          <t>battery</t>
        </is>
      </c>
      <c r="E151" t="inlineStr">
        <is>
          <t>cell, module_pack</t>
        </is>
      </c>
      <c r="F151" t="n">
        <v>1</v>
      </c>
      <c r="G151" t="inlineStr">
        <is>
          <t>announced</t>
        </is>
      </c>
      <c r="H151" t="n">
        <v>50</v>
      </c>
      <c r="I151" t="n">
        <v>50</v>
      </c>
      <c r="J151" t="n">
        <v>4000000000</v>
      </c>
      <c r="K151" t="n">
        <v>4000000000</v>
      </c>
      <c r="L151" t="b">
        <v>1</v>
      </c>
      <c r="M151" t="inlineStr">
        <is>
          <t>2021-06</t>
        </is>
      </c>
      <c r="N151" t="inlineStr"/>
      <c r="O151" t="inlineStr"/>
      <c r="P151" t="b">
        <v>0</v>
      </c>
      <c r="Q151" t="b">
        <v>0</v>
      </c>
      <c r="R151" t="b">
        <v>0</v>
      </c>
      <c r="S151">
        <f>HYPERLINK("https://www.electrive.com/2022/10/17/tesla-facing-further-battery-cell-production-delays/", "source")</f>
        <v/>
      </c>
      <c r="T151">
        <f>HYPERLINK("https://www.electrive.com/2022/10/17/tesla-facing-further-battery-cell-production-delays/", "source")</f>
        <v/>
      </c>
      <c r="U151">
        <f>HYPERLINK("https://www.electrive.com/2022/10/17/tesla-facing-further-battery-cell-production-delays/", "source")</f>
        <v/>
      </c>
      <c r="V151">
        <f>HYPERLINK("https://www.electrive.com/2021/06/18/teslas-giga-berlin-subject-to-next-phase-of-bureacracy/", "source")</f>
        <v/>
      </c>
      <c r="W151" t="inlineStr"/>
      <c r="X151" t="inlineStr"/>
      <c r="Y151" t="inlineStr">
        <is>
          <t>22b9592c-8bfc-5b93-bbad-257953fe8ee0</t>
        </is>
      </c>
    </row>
    <row r="152">
      <c r="A152" t="inlineStr">
        <is>
          <t>tiamat</t>
        </is>
      </c>
      <c r="B152" t="inlineStr">
        <is>
          <t>FR</t>
        </is>
      </c>
      <c r="C152" t="inlineStr">
        <is>
          <t>Boves</t>
        </is>
      </c>
      <c r="D152" t="inlineStr">
        <is>
          <t>battery</t>
        </is>
      </c>
      <c r="E152" t="inlineStr">
        <is>
          <t>cell</t>
        </is>
      </c>
      <c r="F152" t="n">
        <v>1</v>
      </c>
      <c r="G152" t="inlineStr">
        <is>
          <t>under construction</t>
        </is>
      </c>
      <c r="H152" t="n">
        <v>0.7000000000000001</v>
      </c>
      <c r="I152" t="n">
        <v>0.7000000000000001</v>
      </c>
      <c r="J152" t="n">
        <v>56000000.00000001</v>
      </c>
      <c r="K152" t="n">
        <v>56000000.00000001</v>
      </c>
      <c r="L152" t="b">
        <v>1</v>
      </c>
      <c r="M152" t="inlineStr">
        <is>
          <t>2025-04</t>
        </is>
      </c>
      <c r="N152" t="inlineStr">
        <is>
          <t>2025-04</t>
        </is>
      </c>
      <c r="O152" t="inlineStr">
        <is>
          <t>2028-04</t>
        </is>
      </c>
      <c r="P152" t="b">
        <v>0</v>
      </c>
      <c r="Q152" t="b">
        <v>0</v>
      </c>
      <c r="R152" t="b">
        <v>1</v>
      </c>
      <c r="S152">
        <f>HYPERLINK("https://www.ess-news.com/2025/04/25/consultation-over-5-gwh-french-sodium-ion-battery-factory/", "source")</f>
        <v/>
      </c>
      <c r="T152">
        <f>HYPERLINK("https://www.ess-news.com/2025/04/25/consultation-over-5-gwh-french-sodium-ion-battery-factory/", "source")</f>
        <v/>
      </c>
      <c r="U152">
        <f>HYPERLINK("https://www.ess-news.com/2025/04/25/consultation-over-5-gwh-french-sodium-ion-battery-factory/", "source")</f>
        <v/>
      </c>
      <c r="V152">
        <f>HYPERLINK("https://www.ess-news.com/2025/04/25/consultation-over-5-gwh-french-sodium-ion-battery-factory/", "source")</f>
        <v/>
      </c>
      <c r="W152">
        <f>HYPERLINK("https://www.ess-news.com/2025/04/25/consultation-over-5-gwh-french-sodium-ion-battery-factory/", "source")</f>
        <v/>
      </c>
      <c r="X152" t="inlineStr"/>
      <c r="Y152" t="inlineStr">
        <is>
          <t>7838aab5-86b1-58c0-b611-6e0fe2c759c0</t>
        </is>
      </c>
    </row>
    <row r="153">
      <c r="A153" t="inlineStr">
        <is>
          <t>tiamat</t>
        </is>
      </c>
      <c r="B153" t="inlineStr">
        <is>
          <t>FR</t>
        </is>
      </c>
      <c r="C153" t="inlineStr">
        <is>
          <t>Boves</t>
        </is>
      </c>
      <c r="D153" t="inlineStr">
        <is>
          <t>battery</t>
        </is>
      </c>
      <c r="E153" t="inlineStr">
        <is>
          <t>cell</t>
        </is>
      </c>
      <c r="F153" t="n">
        <v>2</v>
      </c>
      <c r="G153" t="inlineStr">
        <is>
          <t>announced</t>
        </is>
      </c>
      <c r="H153" t="n">
        <v>4.3</v>
      </c>
      <c r="I153" t="n">
        <v>5</v>
      </c>
      <c r="J153" t="n">
        <v>444000000</v>
      </c>
      <c r="K153" t="n">
        <v>500000000</v>
      </c>
      <c r="L153" t="b">
        <v>0</v>
      </c>
      <c r="M153" t="inlineStr">
        <is>
          <t>2025-04</t>
        </is>
      </c>
      <c r="N153" t="inlineStr"/>
      <c r="O153" t="inlineStr"/>
      <c r="P153" t="b">
        <v>0</v>
      </c>
      <c r="Q153" t="b">
        <v>0</v>
      </c>
      <c r="R153" t="b">
        <v>0</v>
      </c>
      <c r="S153">
        <f>HYPERLINK("https://www.ess-news.com/2025/04/25/consultation-over-5-gwh-french-sodium-ion-battery-factory/", "source")</f>
        <v/>
      </c>
      <c r="T153">
        <f>HYPERLINK("https://www.ess-news.com/2025/04/25/consultation-over-5-gwh-french-sodium-ion-battery-factory/", "source")</f>
        <v/>
      </c>
      <c r="U153">
        <f>HYPERLINK("https://www.ess-news.com/2025/04/25/consultation-over-5-gwh-french-sodium-ion-battery-factory/", "source")</f>
        <v/>
      </c>
      <c r="V153">
        <f>HYPERLINK("https://www.ess-news.com/2025/04/25/consultation-over-5-gwh-french-sodium-ion-battery-factory/", "source")</f>
        <v/>
      </c>
      <c r="W153" t="inlineStr"/>
      <c r="X153" t="inlineStr"/>
      <c r="Y153" t="inlineStr">
        <is>
          <t>7838aab5-86b1-58c0-b611-6e0fe2c759c0</t>
        </is>
      </c>
    </row>
    <row r="154">
      <c r="A154" t="inlineStr">
        <is>
          <t>toray industries</t>
        </is>
      </c>
      <c r="B154" t="inlineStr">
        <is>
          <t>HU</t>
        </is>
      </c>
      <c r="C154" t="inlineStr">
        <is>
          <t>Budapest</t>
        </is>
      </c>
      <c r="D154" t="inlineStr">
        <is>
          <t>battery</t>
        </is>
      </c>
      <c r="E154" t="inlineStr">
        <is>
          <t>eam</t>
        </is>
      </c>
      <c r="F154" t="n">
        <v>1</v>
      </c>
      <c r="G154" t="inlineStr">
        <is>
          <t>announced</t>
        </is>
      </c>
      <c r="H154" t="inlineStr"/>
      <c r="I154" t="inlineStr"/>
      <c r="J154" t="n">
        <v>200000000</v>
      </c>
      <c r="K154" t="n">
        <v>200000000</v>
      </c>
      <c r="L154" t="b">
        <v>0</v>
      </c>
      <c r="M154" t="inlineStr">
        <is>
          <t>2019-07</t>
        </is>
      </c>
      <c r="N154" t="inlineStr"/>
      <c r="O154" t="inlineStr"/>
      <c r="P154" t="b">
        <v>0</v>
      </c>
      <c r="Q154" t="b">
        <v>0</v>
      </c>
      <c r="R154" t="b">
        <v>0</v>
      </c>
      <c r="S154">
        <f>HYPERLINK("https://www.electrive.com/2019/07/14/h-toray-plans-factory-for-electric-car-battery-separators/", "source")</f>
        <v/>
      </c>
      <c r="T154" t="inlineStr"/>
      <c r="U154">
        <f>HYPERLINK("https://www.electrive.com/2019/07/14/h-toray-plans-factory-for-electric-car-battery-separators/", "source")</f>
        <v/>
      </c>
      <c r="V154">
        <f>HYPERLINK("https://www.electrive.com/2019/07/14/h-toray-plans-factory-for-electric-car-battery-separators/", "source")</f>
        <v/>
      </c>
      <c r="W154" t="inlineStr"/>
      <c r="X154" t="inlineStr"/>
      <c r="Y154" t="inlineStr">
        <is>
          <t>43c91db3-86be-5612-acee-5d5ce578ac1c</t>
        </is>
      </c>
    </row>
    <row r="155">
      <c r="A155" t="inlineStr">
        <is>
          <t>uk battery industrialisation centre</t>
        </is>
      </c>
      <c r="B155" t="inlineStr">
        <is>
          <t>GB</t>
        </is>
      </c>
      <c r="C155" t="inlineStr">
        <is>
          <t>Coventry</t>
        </is>
      </c>
      <c r="D155" t="inlineStr">
        <is>
          <t>battery</t>
        </is>
      </c>
      <c r="E155" t="inlineStr">
        <is>
          <t>cell, module_pack</t>
        </is>
      </c>
      <c r="F155" t="n">
        <v>1</v>
      </c>
      <c r="G155" t="inlineStr">
        <is>
          <t>operational</t>
        </is>
      </c>
      <c r="H155" t="n">
        <v>0.0025</v>
      </c>
      <c r="I155" t="n">
        <v>0.0025</v>
      </c>
      <c r="J155" t="n">
        <v>147392290</v>
      </c>
      <c r="K155" t="n">
        <v>147392290</v>
      </c>
      <c r="L155" t="b">
        <v>0</v>
      </c>
      <c r="M155" t="inlineStr">
        <is>
          <t>2021-02</t>
        </is>
      </c>
      <c r="N155" t="inlineStr">
        <is>
          <t>2021-02</t>
        </is>
      </c>
      <c r="O155" t="inlineStr">
        <is>
          <t>2021-02</t>
        </is>
      </c>
      <c r="P155" t="b">
        <v>0</v>
      </c>
      <c r="Q155" t="b">
        <v>0</v>
      </c>
      <c r="R155" t="b">
        <v>0</v>
      </c>
      <c r="S155">
        <f>HYPERLINK("https://www.electrive.com/2021/02/09/battery-line-operational-at-uk-battery-centre/", "source")</f>
        <v/>
      </c>
      <c r="T155">
        <f>HYPERLINK("https://www.electrive.com/2021/02/09/battery-line-operational-at-uk-battery-centre/", "source")</f>
        <v/>
      </c>
      <c r="U155">
        <f>HYPERLINK("https://www.electrive.com/2021/02/09/battery-line-operational-at-uk-battery-centre/", "source")</f>
        <v/>
      </c>
      <c r="V155">
        <f>HYPERLINK("https://www.electrive.com/2021/02/09/battery-line-operational-at-uk-battery-centre/", "source")</f>
        <v/>
      </c>
      <c r="W155">
        <f>HYPERLINK("https://www.electrive.com/2021/02/09/battery-line-operational-at-uk-battery-centre/", "source")</f>
        <v/>
      </c>
      <c r="X155">
        <f>HYPERLINK("https://www.electrive.com/2021/02/09/battery-line-operational-at-uk-battery-centre/", "source")</f>
        <v/>
      </c>
      <c r="Y155" t="inlineStr">
        <is>
          <t>a52c3486-077f-56b0-83e1-5f4ada0c392b</t>
        </is>
      </c>
    </row>
    <row r="156">
      <c r="A156" t="inlineStr">
        <is>
          <t>umicore</t>
        </is>
      </c>
      <c r="B156" t="inlineStr">
        <is>
          <t>PL</t>
        </is>
      </c>
      <c r="C156" t="inlineStr">
        <is>
          <t>Nysa</t>
        </is>
      </c>
      <c r="D156" t="inlineStr">
        <is>
          <t>battery</t>
        </is>
      </c>
      <c r="E156" t="inlineStr">
        <is>
          <t>eam</t>
        </is>
      </c>
      <c r="F156" t="n">
        <v>1</v>
      </c>
      <c r="G156" t="inlineStr">
        <is>
          <t>operational</t>
        </is>
      </c>
      <c r="H156" t="n">
        <v>20</v>
      </c>
      <c r="I156" t="n">
        <v>20</v>
      </c>
      <c r="J156" t="inlineStr"/>
      <c r="K156" t="inlineStr"/>
      <c r="L156" t="b">
        <v>0</v>
      </c>
      <c r="M156" t="inlineStr">
        <is>
          <t>2020-02</t>
        </is>
      </c>
      <c r="N156" t="inlineStr">
        <is>
          <t>2020-02</t>
        </is>
      </c>
      <c r="O156" t="inlineStr">
        <is>
          <t>2023-02</t>
        </is>
      </c>
      <c r="P156" t="b">
        <v>1</v>
      </c>
      <c r="Q156" t="b">
        <v>1</v>
      </c>
      <c r="R156" t="b">
        <v>0</v>
      </c>
      <c r="S156">
        <f>HYPERLINK("https://www.electrive.com/2023/02/14/umicore-to-bring-hlm-batteries-to-market-in-2026/", "source")</f>
        <v/>
      </c>
      <c r="T156">
        <f>HYPERLINK("https://www.electrive.com/2023/02/14/umicore-to-bring-hlm-batteries-to-market-in-2026/", "source")</f>
        <v/>
      </c>
      <c r="U156" t="inlineStr"/>
      <c r="V156" t="inlineStr"/>
      <c r="W156" t="inlineStr"/>
      <c r="X156">
        <f>HYPERLINK("https://www.electrive.com/2023/02/14/umicore-to-bring-hlm-batteries-to-market-in-2026/", "source")</f>
        <v/>
      </c>
      <c r="Y156" t="inlineStr">
        <is>
          <t>2a026b1a-4c70-546b-85fe-7bc80b976411</t>
        </is>
      </c>
    </row>
    <row r="157">
      <c r="A157" t="inlineStr">
        <is>
          <t>umicore</t>
        </is>
      </c>
      <c r="B157" t="inlineStr">
        <is>
          <t>PL</t>
        </is>
      </c>
      <c r="C157" t="inlineStr">
        <is>
          <t>Nysa</t>
        </is>
      </c>
      <c r="D157" t="inlineStr">
        <is>
          <t>battery</t>
        </is>
      </c>
      <c r="E157" t="inlineStr">
        <is>
          <t>eam</t>
        </is>
      </c>
      <c r="F157" t="n">
        <v>2</v>
      </c>
      <c r="G157" t="inlineStr">
        <is>
          <t>announced</t>
        </is>
      </c>
      <c r="H157" t="n">
        <v>20</v>
      </c>
      <c r="I157" t="n">
        <v>40</v>
      </c>
      <c r="J157" t="inlineStr"/>
      <c r="K157" t="inlineStr"/>
      <c r="L157" t="b">
        <v>0</v>
      </c>
      <c r="M157" t="inlineStr">
        <is>
          <t>2022-09</t>
        </is>
      </c>
      <c r="N157" t="inlineStr"/>
      <c r="O157" t="inlineStr"/>
      <c r="P157" t="b">
        <v>0</v>
      </c>
      <c r="Q157" t="b">
        <v>0</v>
      </c>
      <c r="R157" t="b">
        <v>0</v>
      </c>
      <c r="S157">
        <f>HYPERLINK("https://www.electrive.com/2023/02/14/umicore-to-bring-hlm-batteries-to-market-in-2026/", "source")</f>
        <v/>
      </c>
      <c r="T157">
        <f>HYPERLINK("https://www.electrive.com/2023/02/14/umicore-to-bring-hlm-batteries-to-market-in-2026/", "source")</f>
        <v/>
      </c>
      <c r="U157" t="inlineStr"/>
      <c r="V157">
        <f>HYPERLINK("https://www.electrive.com/2022/09/21/umicore-opens-cathode-material-plant-in-poland/", "source")</f>
        <v/>
      </c>
      <c r="W157" t="inlineStr"/>
      <c r="X157" t="inlineStr"/>
      <c r="Y157" t="inlineStr">
        <is>
          <t>2a026b1a-4c70-546b-85fe-7bc80b976411</t>
        </is>
      </c>
    </row>
    <row r="158">
      <c r="A158" t="inlineStr">
        <is>
          <t>valmet automotive</t>
        </is>
      </c>
      <c r="B158" t="inlineStr">
        <is>
          <t>FI</t>
        </is>
      </c>
      <c r="C158" t="inlineStr">
        <is>
          <t>Uusikaupunki</t>
        </is>
      </c>
      <c r="D158" t="inlineStr">
        <is>
          <t>battery</t>
        </is>
      </c>
      <c r="E158" t="inlineStr">
        <is>
          <t>module_pack</t>
        </is>
      </c>
      <c r="F158" t="n">
        <v>1</v>
      </c>
      <c r="G158" t="inlineStr">
        <is>
          <t>operational</t>
        </is>
      </c>
      <c r="H158" t="n">
        <v>25</v>
      </c>
      <c r="I158" t="n">
        <v>25</v>
      </c>
      <c r="J158" t="n">
        <v>120000000</v>
      </c>
      <c r="K158" t="n">
        <v>120000000</v>
      </c>
      <c r="L158" t="b">
        <v>0</v>
      </c>
      <c r="M158" t="inlineStr">
        <is>
          <t>2018-09</t>
        </is>
      </c>
      <c r="N158" t="inlineStr">
        <is>
          <t>2018-09</t>
        </is>
      </c>
      <c r="O158" t="inlineStr">
        <is>
          <t>2021-09</t>
        </is>
      </c>
      <c r="P158" t="b">
        <v>1</v>
      </c>
      <c r="Q158" t="b">
        <v>1</v>
      </c>
      <c r="R158" t="b">
        <v>0</v>
      </c>
      <c r="S158">
        <f>HYPERLINK("https://www.electrive.com/2021/09/14/finland-valmet-automotive-opens-new-plant-for-ev-batteries/", "source")</f>
        <v/>
      </c>
      <c r="T158">
        <f>HYPERLINK("https://www.electrive.com/2021/09/14/finland-valmet-automotive-opens-new-plant-for-ev-batteries/", "source")</f>
        <v/>
      </c>
      <c r="U158">
        <f>HYPERLINK("https://www.electrive.com/2021/09/14/finland-valmet-automotive-opens-new-plant-for-ev-batteries/", "source")</f>
        <v/>
      </c>
      <c r="V158" t="inlineStr"/>
      <c r="W158" t="inlineStr"/>
      <c r="X158">
        <f>HYPERLINK("https://www.electrive.com/2021/09/14/finland-valmet-automotive-opens-new-plant-for-ev-batteries/", "source")</f>
        <v/>
      </c>
      <c r="Y158" t="inlineStr">
        <is>
          <t>a316a9fd-9a72-53da-8a0b-5fc630cc0295</t>
        </is>
      </c>
    </row>
    <row r="159">
      <c r="A159" t="inlineStr">
        <is>
          <t>verkor</t>
        </is>
      </c>
      <c r="B159" t="inlineStr">
        <is>
          <t>FR</t>
        </is>
      </c>
      <c r="C159" t="inlineStr">
        <is>
          <t>Dunkerque</t>
        </is>
      </c>
      <c r="D159" t="inlineStr">
        <is>
          <t>battery</t>
        </is>
      </c>
      <c r="E159" t="inlineStr">
        <is>
          <t>cell, eam</t>
        </is>
      </c>
      <c r="F159" t="n">
        <v>1</v>
      </c>
      <c r="G159" t="inlineStr">
        <is>
          <t>operational</t>
        </is>
      </c>
      <c r="H159" t="n">
        <v>8</v>
      </c>
      <c r="I159" t="n">
        <v>8</v>
      </c>
      <c r="J159" t="n">
        <v>1000000000</v>
      </c>
      <c r="K159" t="n">
        <v>1000000000</v>
      </c>
      <c r="L159" t="b">
        <v>0</v>
      </c>
      <c r="M159" t="inlineStr">
        <is>
          <t>2022-02</t>
        </is>
      </c>
      <c r="N159" t="inlineStr">
        <is>
          <t>2023-06</t>
        </is>
      </c>
      <c r="O159" t="inlineStr">
        <is>
          <t>2025-07</t>
        </is>
      </c>
      <c r="P159" t="b">
        <v>0</v>
      </c>
      <c r="Q159" t="b">
        <v>0</v>
      </c>
      <c r="R159" t="b">
        <v>0</v>
      </c>
      <c r="S159">
        <f>HYPERLINK("https://www.electrive.com/2025/07/07/eu-awards-funding-to-six-battery-production-projects/", "source")</f>
        <v/>
      </c>
      <c r="T159">
        <f>HYPERLINK("https://www.electrive.com/2025/07/07/eu-awards-funding-to-six-battery-production-projects/", "source")</f>
        <v/>
      </c>
      <c r="U159">
        <f>HYPERLINK("https://verkor.com/en/verkor-innovation-centre-opens-for-business/?utm_source=chatgpt.com", "source")</f>
        <v/>
      </c>
      <c r="V159">
        <f>HYPERLINK("https://www.electrive.com/2022/02/03/verkor-to-build-battery-plant-in-dunkerque/", "source")</f>
        <v/>
      </c>
      <c r="W159">
        <f>HYPERLINK("https://verkor.com/en/verkor-innovation-centre-opens-for-business/?utm_source=chatgpt.com", "source")</f>
        <v/>
      </c>
      <c r="X159">
        <f>HYPERLINK("https://www.electrive.com/2025/07/07/eu-awards-funding-to-six-battery-production-projects/", "source")</f>
        <v/>
      </c>
      <c r="Y159" t="inlineStr">
        <is>
          <t>07235f1a-3566-5f37-b6d5-dd621df6545d</t>
        </is>
      </c>
    </row>
    <row r="160">
      <c r="A160" t="inlineStr">
        <is>
          <t>verkor</t>
        </is>
      </c>
      <c r="B160" t="inlineStr">
        <is>
          <t>FR</t>
        </is>
      </c>
      <c r="C160" t="inlineStr">
        <is>
          <t>Dunkerque</t>
        </is>
      </c>
      <c r="D160" t="inlineStr">
        <is>
          <t>battery</t>
        </is>
      </c>
      <c r="E160" t="inlineStr">
        <is>
          <t>cell, eam</t>
        </is>
      </c>
      <c r="F160" t="n">
        <v>2</v>
      </c>
      <c r="G160" t="inlineStr">
        <is>
          <t>announced</t>
        </is>
      </c>
      <c r="H160" t="n">
        <v>8</v>
      </c>
      <c r="I160" t="n">
        <v>16</v>
      </c>
      <c r="J160" t="n">
        <v>1000000000</v>
      </c>
      <c r="K160" t="n">
        <v>2000000000</v>
      </c>
      <c r="L160" t="b">
        <v>1</v>
      </c>
      <c r="M160" t="inlineStr">
        <is>
          <t>2022-02</t>
        </is>
      </c>
      <c r="N160" t="inlineStr"/>
      <c r="O160" t="inlineStr"/>
      <c r="P160" t="b">
        <v>0</v>
      </c>
      <c r="Q160" t="b">
        <v>0</v>
      </c>
      <c r="R160" t="b">
        <v>0</v>
      </c>
      <c r="S160">
        <f>HYPERLINK("https://www.electrive.com/2025/07/07/eu-awards-funding-to-six-battery-production-projects/", "source")</f>
        <v/>
      </c>
      <c r="T160">
        <f>HYPERLINK("https://www.electrive.com/2025/07/07/eu-awards-funding-to-six-battery-production-projects/", "source")</f>
        <v/>
      </c>
      <c r="U160">
        <f>HYPERLINK("https://www.electrive.com/2024/05/27/verkor-secures-billion-euro-loan-to-complete-cell-factory/", "source")</f>
        <v/>
      </c>
      <c r="V160">
        <f>HYPERLINK("https://www.electrive.com/2022/02/03/verkor-to-build-battery-plant-in-dunkerque/", "source")</f>
        <v/>
      </c>
      <c r="W160" t="inlineStr"/>
      <c r="X160" t="inlineStr"/>
      <c r="Y160" t="inlineStr">
        <is>
          <t>07235f1a-3566-5f37-b6d5-dd621df6545d</t>
        </is>
      </c>
    </row>
    <row r="161">
      <c r="A161" t="inlineStr">
        <is>
          <t>verkor</t>
        </is>
      </c>
      <c r="B161" t="inlineStr">
        <is>
          <t>FR</t>
        </is>
      </c>
      <c r="C161" t="inlineStr">
        <is>
          <t>Grenoble</t>
        </is>
      </c>
      <c r="D161" t="inlineStr">
        <is>
          <t>battery</t>
        </is>
      </c>
      <c r="E161" t="inlineStr">
        <is>
          <t>cell</t>
        </is>
      </c>
      <c r="F161" t="n">
        <v>1</v>
      </c>
      <c r="G161" t="inlineStr">
        <is>
          <t>announced</t>
        </is>
      </c>
      <c r="H161" t="n">
        <v>0.15</v>
      </c>
      <c r="I161" t="n">
        <v>0.15</v>
      </c>
      <c r="J161" t="n">
        <v>100000000</v>
      </c>
      <c r="K161" t="n">
        <v>100000000</v>
      </c>
      <c r="L161" t="b">
        <v>0</v>
      </c>
      <c r="M161" t="inlineStr">
        <is>
          <t>2021-07</t>
        </is>
      </c>
      <c r="N161" t="inlineStr"/>
      <c r="O161" t="inlineStr"/>
      <c r="P161" t="b">
        <v>0</v>
      </c>
      <c r="Q161" t="b">
        <v>0</v>
      </c>
      <c r="R161" t="b">
        <v>0</v>
      </c>
      <c r="S161">
        <f>HYPERLINK("https://www.electrive.com/2023/01/14/verkor-euro-manganese-tie-the-knot-for-mine-in-czech-republic/", "source")</f>
        <v/>
      </c>
      <c r="T161">
        <f>HYPERLINK("https://www.electrive.com/2023/01/14/verkor-euro-manganese-tie-the-knot-for-mine-in-czech-republic/", "source")</f>
        <v/>
      </c>
      <c r="U161">
        <f>HYPERLINK("https://www.electrive.com/2021/07/08/verkor-raises-e100-million-in-investment-round/", "source")</f>
        <v/>
      </c>
      <c r="V161">
        <f>HYPERLINK("https://www.electrive.com/2021/07/08/verkor-raises-e100-million-in-investment-round/", "source")</f>
        <v/>
      </c>
      <c r="W161" t="inlineStr"/>
      <c r="X161" t="inlineStr"/>
      <c r="Y161" t="inlineStr">
        <is>
          <t>3ed59ee6-f050-58dd-8dfe-d68fbad8b41d</t>
        </is>
      </c>
    </row>
    <row r="162">
      <c r="A162" t="inlineStr">
        <is>
          <t>verkor</t>
        </is>
      </c>
      <c r="B162" t="inlineStr">
        <is>
          <t>FR</t>
        </is>
      </c>
      <c r="C162" t="inlineStr">
        <is>
          <t>Grenoble</t>
        </is>
      </c>
      <c r="D162" t="inlineStr">
        <is>
          <t>battery</t>
        </is>
      </c>
      <c r="E162" t="inlineStr">
        <is>
          <t>cell</t>
        </is>
      </c>
      <c r="F162" t="n">
        <v>2</v>
      </c>
      <c r="G162" t="inlineStr">
        <is>
          <t>under construction</t>
        </is>
      </c>
      <c r="H162" t="inlineStr"/>
      <c r="I162" t="inlineStr"/>
      <c r="J162" t="n">
        <v>150000000</v>
      </c>
      <c r="K162" t="n">
        <v>250000000</v>
      </c>
      <c r="L162" t="b">
        <v>0</v>
      </c>
      <c r="M162" t="inlineStr">
        <is>
          <t>2022-11</t>
        </is>
      </c>
      <c r="N162" t="inlineStr">
        <is>
          <t>2022-11</t>
        </is>
      </c>
      <c r="O162" t="inlineStr">
        <is>
          <t>2025-11</t>
        </is>
      </c>
      <c r="P162" t="b">
        <v>0</v>
      </c>
      <c r="Q162" t="b">
        <v>0</v>
      </c>
      <c r="R162" t="b">
        <v>1</v>
      </c>
      <c r="S162">
        <f>HYPERLINK("https://www.electrive.com/2022/11/07/verkor-secures-e250-million-in-financing/", "source")</f>
        <v/>
      </c>
      <c r="T162" t="inlineStr"/>
      <c r="U162">
        <f>HYPERLINK("https://www.electrive.com/2022/11/07/verkor-secures-e250-million-in-financing/", "source")</f>
        <v/>
      </c>
      <c r="V162">
        <f>HYPERLINK("https://www.electrive.com/2022/11/07/verkor-secures-e250-million-in-financing/", "source")</f>
        <v/>
      </c>
      <c r="W162">
        <f>HYPERLINK("https://www.electrive.com/2022/11/07/verkor-secures-e250-million-in-financing/", "source")</f>
        <v/>
      </c>
      <c r="X162" t="inlineStr"/>
      <c r="Y162" t="inlineStr">
        <is>
          <t>3ed59ee6-f050-58dd-8dfe-d68fbad8b41d</t>
        </is>
      </c>
    </row>
    <row r="163">
      <c r="A163" t="inlineStr">
        <is>
          <t>vianode</t>
        </is>
      </c>
      <c r="B163" t="inlineStr">
        <is>
          <t>NO</t>
        </is>
      </c>
      <c r="C163" t="inlineStr">
        <is>
          <t>Telemark</t>
        </is>
      </c>
      <c r="D163" t="inlineStr">
        <is>
          <t>battery</t>
        </is>
      </c>
      <c r="E163" t="inlineStr">
        <is>
          <t>eam</t>
        </is>
      </c>
      <c r="F163" t="n">
        <v>1</v>
      </c>
      <c r="G163" t="inlineStr">
        <is>
          <t>operational</t>
        </is>
      </c>
      <c r="H163" t="n">
        <v>2000</v>
      </c>
      <c r="I163" t="n">
        <v>2000</v>
      </c>
      <c r="J163" t="n">
        <v>195000000</v>
      </c>
      <c r="K163" t="n">
        <v>195000000</v>
      </c>
      <c r="L163" t="b">
        <v>0</v>
      </c>
      <c r="M163" t="inlineStr">
        <is>
          <t>2022-09</t>
        </is>
      </c>
      <c r="N163" t="inlineStr">
        <is>
          <t>2022-09</t>
        </is>
      </c>
      <c r="O163" t="inlineStr">
        <is>
          <t>2024-10</t>
        </is>
      </c>
      <c r="P163" t="b">
        <v>0</v>
      </c>
      <c r="Q163" t="b">
        <v>1</v>
      </c>
      <c r="R163" t="b">
        <v>0</v>
      </c>
      <c r="S163">
        <f>HYPERLINK("https://www.electrive.com/2024/10/16/vianode-opens-graphite-production-plant-in-norway/", "source")</f>
        <v/>
      </c>
      <c r="T163">
        <f>HYPERLINK("https://www.electrive.com/2024/10/16/vianode-opens-graphite-production-plant-in-norway/", "source")</f>
        <v/>
      </c>
      <c r="U163">
        <f>HYPERLINK("https://www.electrive.com/2024/10/16/vianode-opens-graphite-production-plant-in-norway/", "source")</f>
        <v/>
      </c>
      <c r="V163">
        <f>HYPERLINK("https://www.just-auto.com/news/vianode-investing-in-norway-anode-materials-production/", "source")</f>
        <v/>
      </c>
      <c r="W163" t="inlineStr"/>
      <c r="X163">
        <f>HYPERLINK("https://www.electrive.com/2024/10/16/vianode-opens-graphite-production-plant-in-norway/", "source")</f>
        <v/>
      </c>
      <c r="Y163" t="inlineStr">
        <is>
          <t>176ced40-28d8-524b-a647-b6190ca200ac</t>
        </is>
      </c>
    </row>
    <row r="164">
      <c r="A164" t="inlineStr">
        <is>
          <t>vianode</t>
        </is>
      </c>
      <c r="B164" t="inlineStr">
        <is>
          <t>NO</t>
        </is>
      </c>
      <c r="C164" t="inlineStr">
        <is>
          <t>Telemark</t>
        </is>
      </c>
      <c r="D164" t="inlineStr">
        <is>
          <t>battery</t>
        </is>
      </c>
      <c r="E164" t="inlineStr">
        <is>
          <t>eam</t>
        </is>
      </c>
      <c r="F164" t="n">
        <v>2</v>
      </c>
      <c r="G164" t="inlineStr">
        <is>
          <t>announced</t>
        </is>
      </c>
      <c r="H164" t="n">
        <v>0</v>
      </c>
      <c r="I164" t="n">
        <v>100</v>
      </c>
      <c r="J164" t="inlineStr"/>
      <c r="K164" t="inlineStr"/>
      <c r="L164" t="b">
        <v>0</v>
      </c>
      <c r="M164" t="inlineStr">
        <is>
          <t>2022-09</t>
        </is>
      </c>
      <c r="N164" t="inlineStr"/>
      <c r="O164" t="inlineStr"/>
      <c r="P164" t="b">
        <v>0</v>
      </c>
      <c r="Q164" t="b">
        <v>0</v>
      </c>
      <c r="R164" t="b">
        <v>0</v>
      </c>
      <c r="S164">
        <f>HYPERLINK("https://www.electrive.com/2022/09/21/vianode-to-build-battery-materials-factory-in-norway/", "source")</f>
        <v/>
      </c>
      <c r="T164">
        <f>HYPERLINK("https://www.electrive.com/2022/09/21/vianode-to-build-battery-materials-factory-in-norway/", "source")</f>
        <v/>
      </c>
      <c r="U164" t="inlineStr"/>
      <c r="V164">
        <f>HYPERLINK("https://www.electrive.com/2022/09/21/vianode-to-build-battery-materials-factory-in-norway/", "source")</f>
        <v/>
      </c>
      <c r="W164" t="inlineStr"/>
      <c r="X164" t="inlineStr"/>
      <c r="Y164" t="inlineStr">
        <is>
          <t>176ced40-28d8-524b-a647-b6190ca200ac</t>
        </is>
      </c>
    </row>
    <row r="165">
      <c r="A165" t="inlineStr">
        <is>
          <t>volkswagen</t>
        </is>
      </c>
      <c r="B165" t="inlineStr">
        <is>
          <t>DE</t>
        </is>
      </c>
      <c r="C165" t="inlineStr">
        <is>
          <t>Braunschweig</t>
        </is>
      </c>
      <c r="D165" t="inlineStr">
        <is>
          <t>battery</t>
        </is>
      </c>
      <c r="E165" t="inlineStr">
        <is>
          <t>module_pack</t>
        </is>
      </c>
      <c r="F165" t="n">
        <v>1</v>
      </c>
      <c r="G165" t="inlineStr">
        <is>
          <t>operational</t>
        </is>
      </c>
      <c r="H165" t="n">
        <v>25</v>
      </c>
      <c r="I165" t="n">
        <v>25</v>
      </c>
      <c r="J165" t="n">
        <v>300000000</v>
      </c>
      <c r="K165" t="n">
        <v>300000000</v>
      </c>
      <c r="L165" t="b">
        <v>0</v>
      </c>
      <c r="M165" t="inlineStr">
        <is>
          <t>2019-11</t>
        </is>
      </c>
      <c r="N165" t="inlineStr">
        <is>
          <t>2019-11</t>
        </is>
      </c>
      <c r="O165" t="inlineStr">
        <is>
          <t>2021-04</t>
        </is>
      </c>
      <c r="P165" t="b">
        <v>0</v>
      </c>
      <c r="Q165" t="b">
        <v>0</v>
      </c>
      <c r="R165" t="b">
        <v>0</v>
      </c>
      <c r="S165">
        <f>HYPERLINK("https://www.electrive.com/2022/07/18/volkswagen-expands-battery-manufacturing-capacity-in-germany/", "source")</f>
        <v/>
      </c>
      <c r="T165">
        <f>HYPERLINK("https://www.electrive.com/2022/07/18/volkswagen-expands-battery-manufacturing-capacity-in-germany/", "source")</f>
        <v/>
      </c>
      <c r="U165">
        <f>HYPERLINK("https://www.world-energy.org/article/17162.html", "source")</f>
        <v/>
      </c>
      <c r="V165">
        <f>HYPERLINK("https://www.electrive.com/2019/11/08/vw-announces-the-id-space-vizzion/", "source")</f>
        <v/>
      </c>
      <c r="W165">
        <f>HYPERLINK("https://www.electrive.com/2019/11/08/vw-announces-the-id-space-vizzion/", "source")</f>
        <v/>
      </c>
      <c r="X165">
        <f>HYPERLINK("https://www.electrive.com/2021/04/15/vw-expands-battery-system-production/", "source")</f>
        <v/>
      </c>
      <c r="Y165" t="inlineStr">
        <is>
          <t>520360ee-e82e-5e44-975a-e4e746982ba9</t>
        </is>
      </c>
    </row>
    <row r="166">
      <c r="A166" t="inlineStr">
        <is>
          <t>volkswagen</t>
        </is>
      </c>
      <c r="B166" t="inlineStr">
        <is>
          <t>DE</t>
        </is>
      </c>
      <c r="C166" t="inlineStr">
        <is>
          <t>Salzgitter</t>
        </is>
      </c>
      <c r="D166" t="inlineStr">
        <is>
          <t>battery</t>
        </is>
      </c>
      <c r="E166" t="inlineStr">
        <is>
          <t>cell, module_pack</t>
        </is>
      </c>
      <c r="F166" t="n">
        <v>1</v>
      </c>
      <c r="G166" t="inlineStr">
        <is>
          <t>under construction</t>
        </is>
      </c>
      <c r="H166" t="n">
        <v>20</v>
      </c>
      <c r="I166" t="n">
        <v>20</v>
      </c>
      <c r="J166" t="n">
        <v>2000000000</v>
      </c>
      <c r="K166" t="n">
        <v>2000000000</v>
      </c>
      <c r="L166" t="b">
        <v>0</v>
      </c>
      <c r="M166" t="inlineStr">
        <is>
          <t>2019-05</t>
        </is>
      </c>
      <c r="N166" t="inlineStr">
        <is>
          <t>2022-07</t>
        </is>
      </c>
      <c r="O166" t="inlineStr">
        <is>
          <t>2025-07</t>
        </is>
      </c>
      <c r="P166" t="b">
        <v>0</v>
      </c>
      <c r="Q166" t="b">
        <v>0</v>
      </c>
      <c r="R166" t="b">
        <v>1</v>
      </c>
      <c r="S166">
        <f>HYPERLINK("https://www.electrive.com/2024/09/11/volkswagen-to-cut-battery-production-plans-in-salzgitter/#comment-368068", "source")</f>
        <v/>
      </c>
      <c r="T166">
        <f>HYPERLINK("https://www.electrive.com/2024/09/11/volkswagen-to-cut-battery-production-plans-in-salzgitter/#comment-368068", "source")</f>
        <v/>
      </c>
      <c r="U166">
        <f>HYPERLINK("https://www.wardsauto.com/news/archive-wards-volkswagen-launching-german-battery-production-site/796227/", "source")</f>
        <v/>
      </c>
      <c r="V166">
        <f>HYPERLINK("https://www.electrive.com/2019/05/27/volkswagens-battery-supply-may-be-in-trouble/", "source")</f>
        <v/>
      </c>
      <c r="W166">
        <f>HYPERLINK("https://www.volkswagen-group.com/en/press-releases/ground-breaking-in-salzgitter-volkswagen-enters-global-battery-business-with-powerco-16899?utm_source=chatgpt.com", "source")</f>
        <v/>
      </c>
      <c r="X166" t="inlineStr"/>
      <c r="Y166" t="inlineStr">
        <is>
          <t>622a6c83-a838-5d66-854a-921ebc9dc56f</t>
        </is>
      </c>
    </row>
    <row r="167">
      <c r="A167" t="inlineStr">
        <is>
          <t>volkswagen</t>
        </is>
      </c>
      <c r="B167" t="inlineStr">
        <is>
          <t>DE</t>
        </is>
      </c>
      <c r="C167" t="inlineStr">
        <is>
          <t>Salzgitter</t>
        </is>
      </c>
      <c r="D167" t="inlineStr">
        <is>
          <t>battery</t>
        </is>
      </c>
      <c r="E167" t="inlineStr">
        <is>
          <t>cell, module_pack</t>
        </is>
      </c>
      <c r="F167" t="n">
        <v>2</v>
      </c>
      <c r="G167" t="inlineStr">
        <is>
          <t>under construction</t>
        </is>
      </c>
      <c r="H167" t="n">
        <v>20</v>
      </c>
      <c r="I167" t="n">
        <v>40</v>
      </c>
      <c r="J167" t="n">
        <v>0</v>
      </c>
      <c r="K167" t="n">
        <v>1000000000</v>
      </c>
      <c r="L167" t="b">
        <v>0</v>
      </c>
      <c r="M167" t="inlineStr">
        <is>
          <t>2019-05</t>
        </is>
      </c>
      <c r="N167" t="inlineStr">
        <is>
          <t>2019-09</t>
        </is>
      </c>
      <c r="O167" t="inlineStr">
        <is>
          <t>2022-09</t>
        </is>
      </c>
      <c r="P167" t="b">
        <v>0</v>
      </c>
      <c r="Q167" t="b">
        <v>0</v>
      </c>
      <c r="R167" t="b">
        <v>1</v>
      </c>
      <c r="S167">
        <f>HYPERLINK("https://www.electrive.com/2019/09/23/volkswagen-to-build-a-gigafactory/", "source")</f>
        <v/>
      </c>
      <c r="T167">
        <f>HYPERLINK("https://www.electrive.com/2021/12/13/volkswagen-founds-battery-unit-in-europe/", "source")</f>
        <v/>
      </c>
      <c r="U167">
        <f>HYPERLINK("https://www.electrive.com/2019/09/23/volkswagen-to-build-a-gigafactory/", "source")</f>
        <v/>
      </c>
      <c r="V167">
        <f>HYPERLINK("https://www.electrive.com/2019/05/27/volkswagens-battery-supply-may-be-in-trouble/", "source")</f>
        <v/>
      </c>
      <c r="W167">
        <f>HYPERLINK("https://www.electrive.com/2019/09/23/volkswagen-to-build-a-gigafactory/", "source")</f>
        <v/>
      </c>
      <c r="X167" t="inlineStr"/>
      <c r="Y167" t="inlineStr">
        <is>
          <t>622a6c83-a838-5d66-854a-921ebc9dc56f</t>
        </is>
      </c>
    </row>
    <row r="168">
      <c r="A168" t="inlineStr">
        <is>
          <t>volkswagen</t>
        </is>
      </c>
      <c r="B168" t="inlineStr">
        <is>
          <t>ES</t>
        </is>
      </c>
      <c r="C168" t="inlineStr">
        <is>
          <t>Sagunto/Sagunt</t>
        </is>
      </c>
      <c r="D168" t="inlineStr">
        <is>
          <t>battery</t>
        </is>
      </c>
      <c r="E168" t="inlineStr">
        <is>
          <t>cell, module_pack</t>
        </is>
      </c>
      <c r="F168" t="n">
        <v>1</v>
      </c>
      <c r="G168" t="inlineStr">
        <is>
          <t>under construction</t>
        </is>
      </c>
      <c r="H168" t="n">
        <v>40</v>
      </c>
      <c r="I168" t="n">
        <v>40</v>
      </c>
      <c r="J168" t="n">
        <v>3500000000</v>
      </c>
      <c r="K168" t="n">
        <v>3500000000</v>
      </c>
      <c r="L168" t="b">
        <v>0</v>
      </c>
      <c r="M168" t="inlineStr">
        <is>
          <t>2022-02</t>
        </is>
      </c>
      <c r="N168" t="inlineStr">
        <is>
          <t>2023-03</t>
        </is>
      </c>
      <c r="O168" t="inlineStr">
        <is>
          <t>2026-03</t>
        </is>
      </c>
      <c r="P168" t="b">
        <v>0</v>
      </c>
      <c r="Q168" t="b">
        <v>0</v>
      </c>
      <c r="R168" t="b">
        <v>1</v>
      </c>
      <c r="S168">
        <f>HYPERLINK("https://www.electrive.com/2024/10/09/spain-subsidises-stellantis-and-powercos-battery-projects/", "source")</f>
        <v/>
      </c>
      <c r="T168">
        <f>HYPERLINK("https://www.electrive.com/2024/10/09/spain-subsidises-stellantis-and-powercos-battery-projects/", "source")</f>
        <v/>
      </c>
      <c r="U168">
        <f>HYPERLINK("https://www.electrive.com/2022/02/24/vw-settles-on-location-for-spanish-battery-plant/", "source")</f>
        <v/>
      </c>
      <c r="V168">
        <f>HYPERLINK("https://www.electrive.com/2022/02/24/vw-settles-on-location-for-spanish-battery-plant/", "source")</f>
        <v/>
      </c>
      <c r="W168">
        <f>HYPERLINK("https://www.electrive.com/2023/03/17/vw-starts-battery-plant-construction-in-valencia-and-plans-third-party-sales/", "source")</f>
        <v/>
      </c>
      <c r="X168" t="inlineStr"/>
      <c r="Y168" t="inlineStr">
        <is>
          <t>85319ce1-b8e1-5962-99cf-c27aa17ceb1d</t>
        </is>
      </c>
    </row>
    <row r="169">
      <c r="A169" t="inlineStr">
        <is>
          <t>volkswagen</t>
        </is>
      </c>
      <c r="B169" t="inlineStr">
        <is>
          <t>ES</t>
        </is>
      </c>
      <c r="C169" t="inlineStr">
        <is>
          <t>Sagunto/Sagunt</t>
        </is>
      </c>
      <c r="D169" t="inlineStr">
        <is>
          <t>battery</t>
        </is>
      </c>
      <c r="E169" t="inlineStr">
        <is>
          <t>cell, module_pack</t>
        </is>
      </c>
      <c r="F169" t="n">
        <v>2</v>
      </c>
      <c r="G169" t="inlineStr">
        <is>
          <t>announced</t>
        </is>
      </c>
      <c r="H169" t="n">
        <v>20</v>
      </c>
      <c r="I169" t="n">
        <v>60</v>
      </c>
      <c r="J169" t="n">
        <v>1750000000</v>
      </c>
      <c r="K169" t="n">
        <v>5250000000</v>
      </c>
      <c r="L169" t="b">
        <v>1</v>
      </c>
      <c r="M169" t="inlineStr">
        <is>
          <t>2023-03</t>
        </is>
      </c>
      <c r="N169" t="inlineStr"/>
      <c r="O169" t="inlineStr"/>
      <c r="P169" t="b">
        <v>0</v>
      </c>
      <c r="Q169" t="b">
        <v>0</v>
      </c>
      <c r="R169" t="b">
        <v>0</v>
      </c>
      <c r="S169">
        <f>HYPERLINK("https://www.electrive.com/2023/03/17/vw-starts-battery-plant-construction-in-valencia-and-plans-third-party-sales/", "source")</f>
        <v/>
      </c>
      <c r="T169">
        <f>HYPERLINK("https://www.electrive.com/2023/03/17/vw-starts-battery-plant-construction-in-valencia-and-plans-third-party-sales/", "source")</f>
        <v/>
      </c>
      <c r="U169">
        <f>HYPERLINK("https://www.electrive.com/2023/03/17/vw-starts-battery-plant-construction-in-valencia-and-plans-third-party-sales/", "source")</f>
        <v/>
      </c>
      <c r="V169">
        <f>HYPERLINK("https://www.electrive.com/2023/03/17/vw-starts-battery-plant-construction-in-valencia-and-plans-third-party-sales/", "source")</f>
        <v/>
      </c>
      <c r="W169" t="inlineStr"/>
      <c r="X169" t="inlineStr"/>
      <c r="Y169" t="inlineStr">
        <is>
          <t>85319ce1-b8e1-5962-99cf-c27aa17ceb1d</t>
        </is>
      </c>
    </row>
    <row r="170">
      <c r="A170" t="inlineStr">
        <is>
          <t>volvo</t>
        </is>
      </c>
      <c r="B170" t="inlineStr">
        <is>
          <t>BE</t>
        </is>
      </c>
      <c r="C170" t="inlineStr">
        <is>
          <t>Arrondissement of Ghent</t>
        </is>
      </c>
      <c r="D170" t="inlineStr">
        <is>
          <t>battery</t>
        </is>
      </c>
      <c r="E170" t="inlineStr">
        <is>
          <t>assembly, module_pack</t>
        </is>
      </c>
      <c r="F170" t="n">
        <v>1</v>
      </c>
      <c r="G170" t="inlineStr">
        <is>
          <t>announced</t>
        </is>
      </c>
      <c r="H170" t="inlineStr"/>
      <c r="I170" t="inlineStr"/>
      <c r="J170" t="n">
        <v>75000000</v>
      </c>
      <c r="K170" t="n">
        <v>75000000</v>
      </c>
      <c r="L170" t="b">
        <v>0</v>
      </c>
      <c r="M170" t="inlineStr">
        <is>
          <t>2022-10</t>
        </is>
      </c>
      <c r="N170" t="inlineStr"/>
      <c r="O170" t="inlineStr"/>
      <c r="P170" t="b">
        <v>0</v>
      </c>
      <c r="Q170" t="b">
        <v>0</v>
      </c>
      <c r="R170" t="b">
        <v>0</v>
      </c>
      <c r="S170">
        <f>HYPERLINK("https://www.electrive.com/2022/10/27/volvo-group-to-build-truck-battery-modules-in-ghent/", "source")</f>
        <v/>
      </c>
      <c r="T170" t="inlineStr"/>
      <c r="U170">
        <f>HYPERLINK("https://www.electrive.com/2022/10/27/volvo-group-to-build-truck-battery-modules-in-ghent/", "source")</f>
        <v/>
      </c>
      <c r="V170">
        <f>HYPERLINK("https://www.electrive.com/2022/10/27/volvo-group-to-build-truck-battery-modules-in-ghent/", "source")</f>
        <v/>
      </c>
      <c r="W170" t="inlineStr"/>
      <c r="X170" t="inlineStr"/>
      <c r="Y170" t="inlineStr">
        <is>
          <t>35d43cac-9cb6-5fd0-bd7d-89c6a08b4547</t>
        </is>
      </c>
    </row>
    <row r="171">
      <c r="A171" t="inlineStr">
        <is>
          <t>volvo</t>
        </is>
      </c>
      <c r="B171" t="inlineStr">
        <is>
          <t>SE</t>
        </is>
      </c>
      <c r="C171" t="inlineStr">
        <is>
          <t>Gothenburg Municipality</t>
        </is>
      </c>
      <c r="D171" t="inlineStr">
        <is>
          <t>battery</t>
        </is>
      </c>
      <c r="E171" t="inlineStr">
        <is>
          <t>cell, module_pack</t>
        </is>
      </c>
      <c r="F171" t="n">
        <v>1</v>
      </c>
      <c r="G171" t="inlineStr">
        <is>
          <t>under construction</t>
        </is>
      </c>
      <c r="H171" t="n">
        <v>50</v>
      </c>
      <c r="I171" t="n">
        <v>50</v>
      </c>
      <c r="J171" t="n">
        <v>2622228632</v>
      </c>
      <c r="K171" t="n">
        <v>2622228632</v>
      </c>
      <c r="L171" t="b">
        <v>0</v>
      </c>
      <c r="M171" t="inlineStr">
        <is>
          <t>2022-02</t>
        </is>
      </c>
      <c r="N171" t="inlineStr">
        <is>
          <t>2025-01</t>
        </is>
      </c>
      <c r="O171" t="inlineStr">
        <is>
          <t>2028-01</t>
        </is>
      </c>
      <c r="P171" t="b">
        <v>0</v>
      </c>
      <c r="Q171" t="b">
        <v>0</v>
      </c>
      <c r="R171" t="b">
        <v>1</v>
      </c>
      <c r="S171">
        <f>HYPERLINK("https://www.electrive.com/2025/05/06/volvos-battery-subsidiary-to-fire-150-people/", "source")</f>
        <v/>
      </c>
      <c r="T171">
        <f>HYPERLINK("https://www.electrive.com/2025/05/06/volvos-battery-subsidiary-to-fire-150-people/", "source")</f>
        <v/>
      </c>
      <c r="U171">
        <f>HYPERLINK("https://thebusinessdownload.com/volvo-to-take-ownership-of-northvolt-battery-joint-venture/?utm_source=chatgpt.com", "source")</f>
        <v/>
      </c>
      <c r="V171">
        <f>HYPERLINK("https://www.electrive.com/2022/02/10/volvo-planning-another-electric-crossover/", "source")</f>
        <v/>
      </c>
      <c r="W171">
        <f>HYPERLINK("https://www.electrive.com/2025/01/29/volvo-acquires-battery-joint-venture-novo-energy/", "source")</f>
        <v/>
      </c>
      <c r="X171" t="inlineStr"/>
      <c r="Y171" t="inlineStr">
        <is>
          <t>ea7c1234-9d22-57b3-8c77-1c582da4ac0c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7"/>
  <sheetViews>
    <sheetView workbookViewId="0">
      <selection activeCell="A1" sqref="A1"/>
    </sheetView>
  </sheetViews>
  <sheetFormatPr baseColWidth="8" defaultRowHeight="15"/>
  <sheetData>
    <row r="1">
      <c r="A1" s="16" t="inlineStr">
        <is>
          <t>owner</t>
        </is>
      </c>
      <c r="B1" s="16" t="inlineStr">
        <is>
          <t>country</t>
        </is>
      </c>
      <c r="C1" s="16" t="inlineStr">
        <is>
          <t>region</t>
        </is>
      </c>
      <c r="D1" s="16" t="inlineStr">
        <is>
          <t>product_lv1</t>
        </is>
      </c>
      <c r="E1" s="16" t="inlineStr">
        <is>
          <t>product_lv2</t>
        </is>
      </c>
      <c r="F1" s="16" t="inlineStr">
        <is>
          <t>phase</t>
        </is>
      </c>
      <c r="G1" s="16" t="inlineStr">
        <is>
          <t>status</t>
        </is>
      </c>
      <c r="H1" s="16" t="inlineStr">
        <is>
          <t>phase_capacity</t>
        </is>
      </c>
      <c r="I1" s="16" t="inlineStr">
        <is>
          <t>capacity_cumulative</t>
        </is>
      </c>
      <c r="J1" s="16" t="inlineStr">
        <is>
          <t>phase_investment</t>
        </is>
      </c>
      <c r="K1" s="16" t="inlineStr">
        <is>
          <t>investment_cumulative</t>
        </is>
      </c>
      <c r="L1" s="16" t="inlineStr">
        <is>
          <t>investment_was_imputed</t>
        </is>
      </c>
      <c r="M1" s="16" t="inlineStr">
        <is>
          <t>announced_on</t>
        </is>
      </c>
      <c r="N1" s="16" t="inlineStr">
        <is>
          <t>under_construction_on</t>
        </is>
      </c>
      <c r="O1" s="16" t="inlineStr">
        <is>
          <t>operational_on</t>
        </is>
      </c>
      <c r="P1" s="16" t="inlineStr">
        <is>
          <t>ann_date_imputed</t>
        </is>
      </c>
      <c r="Q1" s="16" t="inlineStr">
        <is>
          <t>uc_date_imputed</t>
        </is>
      </c>
      <c r="R1" s="16" t="inlineStr">
        <is>
          <t>op_date_imputed</t>
        </is>
      </c>
      <c r="S1" s="16" t="inlineStr">
        <is>
          <t>status_url</t>
        </is>
      </c>
      <c r="T1" s="16" t="inlineStr">
        <is>
          <t>capacity_url</t>
        </is>
      </c>
      <c r="U1" s="16" t="inlineStr">
        <is>
          <t>investment_url</t>
        </is>
      </c>
      <c r="V1" s="16" t="inlineStr">
        <is>
          <t>announced_url</t>
        </is>
      </c>
      <c r="W1" s="16" t="inlineStr">
        <is>
          <t>under_construction_url</t>
        </is>
      </c>
      <c r="X1" s="16" t="inlineStr">
        <is>
          <t>operational_url</t>
        </is>
      </c>
      <c r="Y1" s="16" t="inlineStr">
        <is>
          <t>project_id</t>
        </is>
      </c>
    </row>
    <row r="2">
      <c r="A2" t="inlineStr">
        <is>
          <t>ad’occ</t>
        </is>
      </c>
      <c r="B2" t="inlineStr">
        <is>
          <t>FR</t>
        </is>
      </c>
      <c r="C2" t="inlineStr">
        <is>
          <t>Tarbes</t>
        </is>
      </c>
      <c r="D2" t="inlineStr">
        <is>
          <t>solar</t>
        </is>
      </c>
      <c r="E2" t="inlineStr">
        <is>
          <t>module</t>
        </is>
      </c>
      <c r="F2" t="n">
        <v>1</v>
      </c>
      <c r="G2" t="inlineStr">
        <is>
          <t>announced</t>
        </is>
      </c>
      <c r="H2" t="n">
        <v>2</v>
      </c>
      <c r="I2" t="n">
        <v>2</v>
      </c>
      <c r="J2" t="n">
        <v>166000000</v>
      </c>
      <c r="K2" t="n">
        <v>166000000</v>
      </c>
      <c r="L2" t="b">
        <v>1</v>
      </c>
      <c r="M2" t="inlineStr">
        <is>
          <t>2021-12</t>
        </is>
      </c>
      <c r="N2" t="inlineStr"/>
      <c r="O2" t="inlineStr"/>
      <c r="P2" t="b">
        <v>0</v>
      </c>
      <c r="Q2" t="b">
        <v>0</v>
      </c>
      <c r="R2" t="b">
        <v>0</v>
      </c>
      <c r="S2">
        <f>HYPERLINK("https://www.pv-magazine.com/2021/12/09/plan-for-solar-module-gigafactory-unveiled-in-france/", "source")</f>
        <v/>
      </c>
      <c r="T2">
        <f>HYPERLINK("https://www.pv-magazine.com/2021/12/09/plan-for-solar-module-gigafactory-unveiled-in-france/", "source")</f>
        <v/>
      </c>
      <c r="U2">
        <f>HYPERLINK("https://www.pv-magazine.com/2021/12/09/plan-for-solar-module-gigafactory-unveiled-in-france/", "source")</f>
        <v/>
      </c>
      <c r="V2">
        <f>HYPERLINK("https://www.pv-magazine.com/2021/12/09/plan-for-solar-module-gigafactory-unveiled-in-france/", "source")</f>
        <v/>
      </c>
      <c r="W2" t="inlineStr"/>
      <c r="X2" t="inlineStr"/>
      <c r="Y2" t="inlineStr">
        <is>
          <t>4518180c-797b-56cd-912a-1ed7ab57e243</t>
        </is>
      </c>
    </row>
    <row r="3">
      <c r="A3" t="inlineStr">
        <is>
          <t>ae solar horizon</t>
        </is>
      </c>
      <c r="B3" t="inlineStr">
        <is>
          <t>BG</t>
        </is>
      </c>
      <c r="C3" t="inlineStr">
        <is>
          <t>Kyustendil</t>
        </is>
      </c>
      <c r="D3" t="inlineStr">
        <is>
          <t>solar</t>
        </is>
      </c>
      <c r="E3" t="inlineStr">
        <is>
          <t>module</t>
        </is>
      </c>
      <c r="F3" t="n">
        <v>1</v>
      </c>
      <c r="G3" t="inlineStr">
        <is>
          <t>announced</t>
        </is>
      </c>
      <c r="H3" t="n">
        <v>1</v>
      </c>
      <c r="I3" t="n">
        <v>1</v>
      </c>
      <c r="J3" t="n">
        <v>10225994</v>
      </c>
      <c r="K3" t="n">
        <v>10225994</v>
      </c>
      <c r="L3" t="b">
        <v>0</v>
      </c>
      <c r="M3" t="inlineStr">
        <is>
          <t>2023-01</t>
        </is>
      </c>
      <c r="N3" t="inlineStr"/>
      <c r="O3" t="inlineStr"/>
      <c r="P3" t="b">
        <v>0</v>
      </c>
      <c r="Q3" t="b">
        <v>0</v>
      </c>
      <c r="R3" t="b">
        <v>0</v>
      </c>
      <c r="S3">
        <f>HYPERLINK("https://balkangreenenergynews.com/ae-solar-horizon-to-produce-solar-panels-in-bulgaria/", "source")</f>
        <v/>
      </c>
      <c r="T3">
        <f>HYPERLINK("https://balkangreenenergynews.com/ae-solar-horizon-to-produce-solar-panels-in-bulgaria/", "source")</f>
        <v/>
      </c>
      <c r="U3">
        <f>HYPERLINK("https://balkangreenenergynews.com/ae-solar-horizon-to-produce-solar-panels-in-bulgaria/", "source")</f>
        <v/>
      </c>
      <c r="V3">
        <f>HYPERLINK("https://balkangreenenergynews.com/ae-solar-horizon-to-produce-solar-panels-in-bulgaria/", "source")</f>
        <v/>
      </c>
      <c r="W3" t="inlineStr"/>
      <c r="X3" t="inlineStr"/>
      <c r="Y3" t="inlineStr">
        <is>
          <t>2208907b-cd6a-5d6b-a9e2-dbb140fb9e62</t>
        </is>
      </c>
    </row>
    <row r="4">
      <c r="A4" t="inlineStr">
        <is>
          <t>ae solar horizon</t>
        </is>
      </c>
      <c r="B4" t="inlineStr">
        <is>
          <t>BG</t>
        </is>
      </c>
      <c r="C4" t="inlineStr">
        <is>
          <t>Plovdiv</t>
        </is>
      </c>
      <c r="D4" t="inlineStr">
        <is>
          <t>solar</t>
        </is>
      </c>
      <c r="E4" t="inlineStr">
        <is>
          <t>module</t>
        </is>
      </c>
      <c r="F4" t="n">
        <v>1</v>
      </c>
      <c r="G4" t="inlineStr">
        <is>
          <t>announced</t>
        </is>
      </c>
      <c r="H4" t="n">
        <v>1</v>
      </c>
      <c r="I4" t="n">
        <v>1</v>
      </c>
      <c r="J4" t="n">
        <v>150000000</v>
      </c>
      <c r="K4" t="n">
        <v>150000000</v>
      </c>
      <c r="L4" t="b">
        <v>0</v>
      </c>
      <c r="M4" t="inlineStr">
        <is>
          <t>2021-12</t>
        </is>
      </c>
      <c r="N4" t="inlineStr"/>
      <c r="O4" t="inlineStr"/>
      <c r="P4" t="b">
        <v>0</v>
      </c>
      <c r="Q4" t="b">
        <v>0</v>
      </c>
      <c r="R4" t="b">
        <v>0</v>
      </c>
      <c r="S4">
        <f>HYPERLINK("https://balkangreenenergynews.com/ae-solar-to-build-solar-panel-plant-in-bulgaria/", "source")</f>
        <v/>
      </c>
      <c r="T4">
        <f>HYPERLINK("https://balkangreenenergynews.com/ae-solar-to-build-solar-panel-plant-in-bulgaria/", "source")</f>
        <v/>
      </c>
      <c r="U4">
        <f>HYPERLINK("https://balkangreenenergynews.com/ae-solar-to-build-solar-panel-plant-in-bulgaria/", "source")</f>
        <v/>
      </c>
      <c r="V4">
        <f>HYPERLINK("https://balkangreenenergynews.com/ae-solar-to-build-solar-panel-plant-in-bulgaria/", "source")</f>
        <v/>
      </c>
      <c r="W4" t="inlineStr"/>
      <c r="X4" t="inlineStr"/>
      <c r="Y4" t="inlineStr">
        <is>
          <t>0a5b74b7-ed35-55b7-a629-3cae1fe4eb9f</t>
        </is>
      </c>
    </row>
    <row r="5">
      <c r="A5" t="inlineStr">
        <is>
          <t>aleo solar</t>
        </is>
      </c>
      <c r="B5" t="inlineStr">
        <is>
          <t>DE</t>
        </is>
      </c>
      <c r="C5" t="inlineStr">
        <is>
          <t>Prenzlau</t>
        </is>
      </c>
      <c r="D5" t="inlineStr">
        <is>
          <t>solar</t>
        </is>
      </c>
      <c r="E5" t="inlineStr">
        <is>
          <t>cell, module</t>
        </is>
      </c>
      <c r="F5" t="n">
        <v>1</v>
      </c>
      <c r="G5" t="inlineStr">
        <is>
          <t>cancelled</t>
        </is>
      </c>
      <c r="H5" t="n">
        <v>0.28</v>
      </c>
      <c r="I5" t="n">
        <v>0.28</v>
      </c>
      <c r="J5" t="n">
        <v>23240000</v>
      </c>
      <c r="K5" t="n">
        <v>23240000</v>
      </c>
      <c r="L5" t="b">
        <v>1</v>
      </c>
      <c r="M5" t="inlineStr">
        <is>
          <t>2011-12</t>
        </is>
      </c>
      <c r="N5" t="inlineStr">
        <is>
          <t>2011-12</t>
        </is>
      </c>
      <c r="O5" t="inlineStr">
        <is>
          <t>2014-12</t>
        </is>
      </c>
      <c r="P5" t="b">
        <v>1</v>
      </c>
      <c r="Q5" t="b">
        <v>1</v>
      </c>
      <c r="R5" t="b">
        <v>0</v>
      </c>
      <c r="S5">
        <f>HYPERLINK("https://www.pv-magazine.com/2025/03/10/aleo-solar-to-halt-production-at-pv-module-factory-in-germany/", "source")</f>
        <v/>
      </c>
      <c r="T5">
        <f>HYPERLINK("https://helapco.gr/en/members/aleo-solar-gmbh/", "source")</f>
        <v/>
      </c>
      <c r="U5">
        <f>HYPERLINK("https://helapco.gr/en/members/aleo-solar-gmbh/", "source")</f>
        <v/>
      </c>
      <c r="V5" t="inlineStr"/>
      <c r="W5" t="inlineStr"/>
      <c r="X5">
        <f>HYPERLINK("https://helapco.gr/en/members/aleo-solar-gmbh/", "source")</f>
        <v/>
      </c>
      <c r="Y5" t="inlineStr">
        <is>
          <t>9328ccdb-d2de-5e1d-b96a-2d46564e1c9b</t>
        </is>
      </c>
    </row>
    <row r="6">
      <c r="A6" t="inlineStr">
        <is>
          <t>aleo solar</t>
        </is>
      </c>
      <c r="B6" t="inlineStr">
        <is>
          <t>DE</t>
        </is>
      </c>
      <c r="C6" t="inlineStr">
        <is>
          <t>Prenzlau</t>
        </is>
      </c>
      <c r="D6" t="inlineStr">
        <is>
          <t>solar</t>
        </is>
      </c>
      <c r="E6" t="inlineStr">
        <is>
          <t>cell, module</t>
        </is>
      </c>
      <c r="F6" t="n">
        <v>2</v>
      </c>
      <c r="G6" t="inlineStr">
        <is>
          <t>announced</t>
        </is>
      </c>
      <c r="H6" t="n">
        <v>0</v>
      </c>
      <c r="I6" t="n">
        <v>0.2</v>
      </c>
      <c r="J6" t="n">
        <v>15000000</v>
      </c>
      <c r="K6" t="n">
        <v>38240000</v>
      </c>
      <c r="L6" t="b">
        <v>0</v>
      </c>
      <c r="M6" t="inlineStr">
        <is>
          <t>2015-11</t>
        </is>
      </c>
      <c r="N6" t="inlineStr"/>
      <c r="O6" t="inlineStr"/>
      <c r="P6" t="b">
        <v>0</v>
      </c>
      <c r="Q6" t="b">
        <v>0</v>
      </c>
      <c r="R6" t="b">
        <v>0</v>
      </c>
      <c r="S6">
        <f>HYPERLINK("https://renewablesnow.com/news/aleo-solar-to-launch-200-mw-pv-cell-plant-in-germany-next-year-493946/", "source")</f>
        <v/>
      </c>
      <c r="T6">
        <f>HYPERLINK("https://renewablesnow.com/news/aleo-solar-to-launch-200-mw-pv-cell-plant-in-germany-next-year-493946/", "source")</f>
        <v/>
      </c>
      <c r="U6">
        <f>HYPERLINK("https://renewablesnow.com/news/aleo-solar-to-launch-200-mw-pv-cell-plant-in-germany-next-year-493946/", "source")</f>
        <v/>
      </c>
      <c r="V6">
        <f>HYPERLINK("https://renewablesnow.com/news/aleo-solar-to-launch-200-mw-pv-cell-plant-in-germany-next-year-493946/", "source")</f>
        <v/>
      </c>
      <c r="W6" t="inlineStr"/>
      <c r="X6" t="inlineStr"/>
      <c r="Y6" t="inlineStr">
        <is>
          <t>9328ccdb-d2de-5e1d-b96a-2d46564e1c9b</t>
        </is>
      </c>
    </row>
    <row r="7">
      <c r="A7" t="inlineStr">
        <is>
          <t>astrasun</t>
        </is>
      </c>
      <c r="B7" t="inlineStr">
        <is>
          <t>RO</t>
        </is>
      </c>
      <c r="C7" t="inlineStr">
        <is>
          <t>Teleorman County</t>
        </is>
      </c>
      <c r="D7" t="inlineStr">
        <is>
          <t>solar</t>
        </is>
      </c>
      <c r="E7" t="inlineStr">
        <is>
          <t>cell, ingot_wafer, module</t>
        </is>
      </c>
      <c r="F7" t="n">
        <v>1</v>
      </c>
      <c r="G7" t="inlineStr">
        <is>
          <t>announced</t>
        </is>
      </c>
      <c r="H7" t="n">
        <v>1.8</v>
      </c>
      <c r="I7" t="n">
        <v>1.8</v>
      </c>
      <c r="J7" t="n">
        <v>102000000</v>
      </c>
      <c r="K7" t="n">
        <v>102000000</v>
      </c>
      <c r="L7" t="b">
        <v>0</v>
      </c>
      <c r="M7" t="inlineStr">
        <is>
          <t>2022-05</t>
        </is>
      </c>
      <c r="N7" t="inlineStr"/>
      <c r="O7" t="inlineStr"/>
      <c r="P7" t="b">
        <v>0</v>
      </c>
      <c r="Q7" t="b">
        <v>0</v>
      </c>
      <c r="R7" t="b">
        <v>0</v>
      </c>
      <c r="S7">
        <f>HYPERLINK("https://www.pv-magazine.com/2022/05/20/romania-to-host-integrated-ingot-cell-pv-module-production/", "source")</f>
        <v/>
      </c>
      <c r="T7">
        <f>HYPERLINK("https://www.pv-magazine.com/2022/05/20/romania-to-host-integrated-ingot-cell-pv-module-production/", "source")</f>
        <v/>
      </c>
      <c r="U7">
        <f>HYPERLINK("https://www.pv-magazine.com/2022/05/20/romania-to-host-integrated-ingot-cell-pv-module-production/", "source")</f>
        <v/>
      </c>
      <c r="V7">
        <f>HYPERLINK("https://www.pv-magazine.com/2022/05/20/romania-to-host-integrated-ingot-cell-pv-module-production/", "source")</f>
        <v/>
      </c>
      <c r="W7" t="inlineStr"/>
      <c r="X7" t="inlineStr"/>
      <c r="Y7" t="inlineStr">
        <is>
          <t>e97f7785-6b45-50f3-8965-1bdde09f6178</t>
        </is>
      </c>
    </row>
    <row r="8">
      <c r="A8" t="inlineStr">
        <is>
          <t>astrasun</t>
        </is>
      </c>
      <c r="B8" t="inlineStr">
        <is>
          <t>RO</t>
        </is>
      </c>
      <c r="C8" t="inlineStr">
        <is>
          <t>Teleorman County</t>
        </is>
      </c>
      <c r="D8" t="inlineStr">
        <is>
          <t>solar</t>
        </is>
      </c>
      <c r="E8" t="inlineStr">
        <is>
          <t>cell, ingot_wafer, module</t>
        </is>
      </c>
      <c r="F8" t="n">
        <v>2</v>
      </c>
      <c r="G8" t="inlineStr">
        <is>
          <t>announced</t>
        </is>
      </c>
      <c r="H8" t="n">
        <v>0</v>
      </c>
      <c r="I8" t="n">
        <v>1.5</v>
      </c>
      <c r="J8" t="n">
        <v>8000000</v>
      </c>
      <c r="K8" t="n">
        <v>110000000</v>
      </c>
      <c r="L8" t="b">
        <v>0</v>
      </c>
      <c r="M8" t="inlineStr">
        <is>
          <t>2022-05</t>
        </is>
      </c>
      <c r="N8" t="inlineStr"/>
      <c r="O8" t="inlineStr"/>
      <c r="P8" t="b">
        <v>0</v>
      </c>
      <c r="Q8" t="b">
        <v>0</v>
      </c>
      <c r="R8" t="b">
        <v>0</v>
      </c>
      <c r="S8">
        <f>HYPERLINK("https://www.pv-magazine.com/2022/05/20/romania-to-host-integrated-ingot-cell-pv-module-production/", "source")</f>
        <v/>
      </c>
      <c r="T8">
        <f>HYPERLINK("https://www.pv-magazine.com/2022/05/20/romania-to-host-integrated-ingot-cell-pv-module-production/", "source")</f>
        <v/>
      </c>
      <c r="U8">
        <f>HYPERLINK("https://www.pv-magazine.com/2022/05/20/romania-to-host-integrated-ingot-cell-pv-module-production/", "source")</f>
        <v/>
      </c>
      <c r="V8">
        <f>HYPERLINK("https://www.pv-magazine.com/2022/05/20/romania-to-host-integrated-ingot-cell-pv-module-production/", "source")</f>
        <v/>
      </c>
      <c r="W8" t="inlineStr"/>
      <c r="X8" t="inlineStr"/>
      <c r="Y8" t="inlineStr">
        <is>
          <t>e97f7785-6b45-50f3-8965-1bdde09f6178</t>
        </is>
      </c>
    </row>
    <row r="9">
      <c r="A9" t="inlineStr">
        <is>
          <t>astrasun</t>
        </is>
      </c>
      <c r="B9" t="inlineStr">
        <is>
          <t>RO</t>
        </is>
      </c>
      <c r="C9" t="inlineStr">
        <is>
          <t>Teleorman County</t>
        </is>
      </c>
      <c r="D9" t="inlineStr">
        <is>
          <t>solar</t>
        </is>
      </c>
      <c r="E9" t="inlineStr">
        <is>
          <t>cell, ingot_wafer, module</t>
        </is>
      </c>
      <c r="F9" t="n">
        <v>3</v>
      </c>
      <c r="G9" t="inlineStr">
        <is>
          <t>announced</t>
        </is>
      </c>
      <c r="H9" t="n">
        <v>0</v>
      </c>
      <c r="I9" t="n">
        <v>1.2</v>
      </c>
      <c r="J9" t="n">
        <v>0</v>
      </c>
      <c r="K9" t="n">
        <v>55000000</v>
      </c>
      <c r="L9" t="b">
        <v>0</v>
      </c>
      <c r="M9" t="inlineStr">
        <is>
          <t>2022-05</t>
        </is>
      </c>
      <c r="N9" t="inlineStr"/>
      <c r="O9" t="inlineStr"/>
      <c r="P9" t="b">
        <v>0</v>
      </c>
      <c r="Q9" t="b">
        <v>0</v>
      </c>
      <c r="R9" t="b">
        <v>0</v>
      </c>
      <c r="S9">
        <f>HYPERLINK("https://www.pv-magazine.com/2022/05/20/romania-to-host-integrated-ingot-cell-pv-module-production/", "source")</f>
        <v/>
      </c>
      <c r="T9">
        <f>HYPERLINK("https://www.pv-magazine.com/2022/05/20/romania-to-host-integrated-ingot-cell-pv-module-production/", "source")</f>
        <v/>
      </c>
      <c r="U9">
        <f>HYPERLINK("https://www.pv-magazine.com/2022/05/20/romania-to-host-integrated-ingot-cell-pv-module-production/", "source")</f>
        <v/>
      </c>
      <c r="V9">
        <f>HYPERLINK("https://www.pv-magazine.com/2022/05/20/romania-to-host-integrated-ingot-cell-pv-module-production/", "source")</f>
        <v/>
      </c>
      <c r="W9" t="inlineStr"/>
      <c r="X9" t="inlineStr"/>
      <c r="Y9" t="inlineStr">
        <is>
          <t>e97f7785-6b45-50f3-8965-1bdde09f6178</t>
        </is>
      </c>
    </row>
    <row r="10">
      <c r="A10" t="inlineStr">
        <is>
          <t>atersa</t>
        </is>
      </c>
      <c r="B10" t="inlineStr">
        <is>
          <t>ES</t>
        </is>
      </c>
      <c r="C10" t="inlineStr">
        <is>
          <t>Valencia</t>
        </is>
      </c>
      <c r="D10" t="inlineStr">
        <is>
          <t>solar</t>
        </is>
      </c>
      <c r="E10" t="inlineStr">
        <is>
          <t>cell, module</t>
        </is>
      </c>
      <c r="F10" t="n">
        <v>1</v>
      </c>
      <c r="G10" t="inlineStr">
        <is>
          <t>operational</t>
        </is>
      </c>
      <c r="H10" t="n">
        <v>0.12</v>
      </c>
      <c r="I10" t="n">
        <v>0.12</v>
      </c>
      <c r="J10" t="n">
        <v>9960000</v>
      </c>
      <c r="K10" t="n">
        <v>9960000</v>
      </c>
      <c r="L10" t="b">
        <v>1</v>
      </c>
      <c r="M10" t="inlineStr">
        <is>
          <t>2009-08</t>
        </is>
      </c>
      <c r="N10" t="inlineStr">
        <is>
          <t>2009-08</t>
        </is>
      </c>
      <c r="O10" t="inlineStr">
        <is>
          <t>2012-08</t>
        </is>
      </c>
      <c r="P10" t="b">
        <v>1</v>
      </c>
      <c r="Q10" t="b">
        <v>1</v>
      </c>
      <c r="R10" t="b">
        <v>0</v>
      </c>
      <c r="S10">
        <f>HYPERLINK("https://www.glassglobal.com/profile/atersa_aplicaciones_t%C3%A9cnicas_de_la_energia_sl-57132.html", "source")</f>
        <v/>
      </c>
      <c r="T10">
        <f>HYPERLINK("https://www.glassglobal.com/profile/atersa_aplicaciones_t%C3%A9cnicas_de_la_energia_sl-57132.html", "source")</f>
        <v/>
      </c>
      <c r="U10">
        <f>HYPERLINK("https://www.glassglobal.com/profile/atersa_aplicaciones_t%C3%A9cnicas_de_la_energia_sl-57132.html", "source")</f>
        <v/>
      </c>
      <c r="V10" t="inlineStr"/>
      <c r="W10" t="inlineStr"/>
      <c r="X10">
        <f>HYPERLINK("https://www.grupoelecnor.com/news/the-regional-government-of-valencias-minister-of-economy-industry-and-trade-visits-atersas-facilities#:~:text=production%20capacity%20of%20154%20megawatt%20hours%20per%20year", "source")</f>
        <v/>
      </c>
      <c r="Y10" t="inlineStr">
        <is>
          <t>1fd091af-d4f3-56a1-b219-5c44f62a92e8</t>
        </is>
      </c>
    </row>
    <row r="11">
      <c r="A11" t="inlineStr">
        <is>
          <t>atersa</t>
        </is>
      </c>
      <c r="B11" t="inlineStr">
        <is>
          <t>ES</t>
        </is>
      </c>
      <c r="C11" t="inlineStr">
        <is>
          <t>Valencia</t>
        </is>
      </c>
      <c r="D11" t="inlineStr">
        <is>
          <t>solar</t>
        </is>
      </c>
      <c r="E11" t="inlineStr">
        <is>
          <t>cell, module</t>
        </is>
      </c>
      <c r="F11" t="n">
        <v>2</v>
      </c>
      <c r="G11" t="inlineStr">
        <is>
          <t>announced</t>
        </is>
      </c>
      <c r="H11" t="n">
        <v>0.224</v>
      </c>
      <c r="I11" t="n">
        <v>0.344</v>
      </c>
      <c r="J11" t="n">
        <v>18592000</v>
      </c>
      <c r="K11" t="n">
        <v>28552000</v>
      </c>
      <c r="L11" t="b">
        <v>1</v>
      </c>
      <c r="M11" t="inlineStr">
        <is>
          <t>2024-12</t>
        </is>
      </c>
      <c r="N11" t="inlineStr"/>
      <c r="O11" t="inlineStr"/>
      <c r="P11" t="b">
        <v>0</v>
      </c>
      <c r="Q11" t="b">
        <v>0</v>
      </c>
      <c r="R11" t="b">
        <v>0</v>
      </c>
      <c r="S11">
        <f>HYPERLINK("https://www.devex.com/organizations/atersa-28710#:~:text=production%20capacity%20of%20344%20MW%20is%20planned", "source")</f>
        <v/>
      </c>
      <c r="T11">
        <f>HYPERLINK("https://www.devex.com/organizations/atersa-28710#:~:text=production%20capacity%20of%20344%20MW%20is%20planned", "source")</f>
        <v/>
      </c>
      <c r="U11">
        <f>HYPERLINK("https://www.devex.com/organizations/atersa-28710#:~:text=production%20capacity%20of%20344%20MW%20is%20planned", "source")</f>
        <v/>
      </c>
      <c r="V11">
        <f>HYPERLINK("https://www.devex.com/organizations/atersa-28710#:~:text=production%20capacity%20of%20344%20MW%20is%20planned", "source")</f>
        <v/>
      </c>
      <c r="W11" t="inlineStr"/>
      <c r="X11" t="inlineStr"/>
      <c r="Y11" t="inlineStr">
        <is>
          <t>1fd091af-d4f3-56a1-b219-5c44f62a92e8</t>
        </is>
      </c>
    </row>
    <row r="12">
      <c r="A12" t="inlineStr">
        <is>
          <t>atersa group</t>
        </is>
      </c>
      <c r="B12" t="inlineStr">
        <is>
          <t>ES</t>
        </is>
      </c>
      <c r="C12" t="inlineStr">
        <is>
          <t>Almussafes</t>
        </is>
      </c>
      <c r="D12" t="inlineStr">
        <is>
          <t>solar</t>
        </is>
      </c>
      <c r="E12" t="inlineStr">
        <is>
          <t>module</t>
        </is>
      </c>
      <c r="F12" t="n">
        <v>1</v>
      </c>
      <c r="G12" t="inlineStr">
        <is>
          <t>operational</t>
        </is>
      </c>
      <c r="H12" t="n">
        <v>0.344</v>
      </c>
      <c r="I12" t="n">
        <v>0.344</v>
      </c>
      <c r="J12" t="n">
        <v>28552000</v>
      </c>
      <c r="K12" t="n">
        <v>28552000</v>
      </c>
      <c r="L12" t="b">
        <v>1</v>
      </c>
      <c r="M12" t="inlineStr">
        <is>
          <t>2022-07</t>
        </is>
      </c>
      <c r="N12" t="inlineStr">
        <is>
          <t>2022-07</t>
        </is>
      </c>
      <c r="O12" t="inlineStr">
        <is>
          <t>2025-07</t>
        </is>
      </c>
      <c r="P12" t="b">
        <v>1</v>
      </c>
      <c r="Q12" t="b">
        <v>1</v>
      </c>
      <c r="R12" t="b">
        <v>0</v>
      </c>
      <c r="S12">
        <f>HYPERLINK("https://www.energias-renovables.com/fotovoltaica/eclipse-solar-en-europa-20250703", "source")</f>
        <v/>
      </c>
      <c r="T12">
        <f>HYPERLINK("https://www.energias-renovables.com/fotovoltaica/eclipse-solar-en-europa-20250703", "source")</f>
        <v/>
      </c>
      <c r="U12">
        <f>HYPERLINK("https://www.energias-renovables.com/fotovoltaica/eclipse-solar-en-europa-20250703", "source")</f>
        <v/>
      </c>
      <c r="V12" t="inlineStr"/>
      <c r="W12" t="inlineStr"/>
      <c r="X12">
        <f>HYPERLINK("https://www.energias-renovables.com/fotovoltaica/eclipse-solar-en-europa-20250703", "source")</f>
        <v/>
      </c>
      <c r="Y12" t="inlineStr">
        <is>
          <t>f3926aa4-fbc3-566f-9d25-6cbb515c3bca</t>
        </is>
      </c>
    </row>
    <row r="13">
      <c r="A13" t="inlineStr">
        <is>
          <t>aurinka</t>
        </is>
      </c>
      <c r="B13" t="inlineStr">
        <is>
          <t>ES</t>
        </is>
      </c>
      <c r="C13" t="inlineStr">
        <is>
          <t>Madrid</t>
        </is>
      </c>
      <c r="D13" t="inlineStr">
        <is>
          <t>solar</t>
        </is>
      </c>
      <c r="E13" t="inlineStr">
        <is>
          <t>module</t>
        </is>
      </c>
      <c r="F13" t="n">
        <v>1</v>
      </c>
      <c r="G13" t="inlineStr">
        <is>
          <t>operational</t>
        </is>
      </c>
      <c r="H13" t="n">
        <v>0.075</v>
      </c>
      <c r="I13" t="n">
        <v>0.075</v>
      </c>
      <c r="J13" t="n">
        <v>6225000</v>
      </c>
      <c r="K13" t="n">
        <v>6225000</v>
      </c>
      <c r="L13" t="b">
        <v>1</v>
      </c>
      <c r="M13" t="inlineStr">
        <is>
          <t>2022-07</t>
        </is>
      </c>
      <c r="N13" t="inlineStr">
        <is>
          <t>2022-07</t>
        </is>
      </c>
      <c r="O13" t="inlineStr">
        <is>
          <t>2025-07</t>
        </is>
      </c>
      <c r="P13" t="b">
        <v>1</v>
      </c>
      <c r="Q13" t="b">
        <v>1</v>
      </c>
      <c r="R13" t="b">
        <v>0</v>
      </c>
      <c r="S13">
        <f>HYPERLINK("https://www.energias-renovables.com/fotovoltaica/eclipse-solar-en-europa-20250703", "source")</f>
        <v/>
      </c>
      <c r="T13">
        <f>HYPERLINK("https://www.energias-renovables.com/fotovoltaica/eclipse-solar-en-europa-20250703", "source")</f>
        <v/>
      </c>
      <c r="U13">
        <f>HYPERLINK("https://www.energias-renovables.com/fotovoltaica/eclipse-solar-en-europa-20250703", "source")</f>
        <v/>
      </c>
      <c r="V13" t="inlineStr"/>
      <c r="W13" t="inlineStr"/>
      <c r="X13">
        <f>HYPERLINK("https://www.energias-renovables.com/fotovoltaica/eclipse-solar-en-europa-20250703", "source")</f>
        <v/>
      </c>
      <c r="Y13" t="inlineStr">
        <is>
          <t>4f7a59a5-341b-573a-bd88-5010d998de9a</t>
        </is>
      </c>
    </row>
    <row r="14">
      <c r="A14" t="inlineStr">
        <is>
          <t>aurinka</t>
        </is>
      </c>
      <c r="B14" t="inlineStr">
        <is>
          <t>ES</t>
        </is>
      </c>
      <c r="C14" t="inlineStr">
        <is>
          <t>Puertollano</t>
        </is>
      </c>
      <c r="D14" t="inlineStr">
        <is>
          <t>solar</t>
        </is>
      </c>
      <c r="E14" t="inlineStr">
        <is>
          <t>polysilicon</t>
        </is>
      </c>
      <c r="F14" t="n">
        <v>1</v>
      </c>
      <c r="G14" t="inlineStr">
        <is>
          <t>announced</t>
        </is>
      </c>
      <c r="H14" t="inlineStr"/>
      <c r="I14" t="inlineStr"/>
      <c r="J14" t="n">
        <v>60000000</v>
      </c>
      <c r="K14" t="n">
        <v>60000000</v>
      </c>
      <c r="L14" t="b">
        <v>0</v>
      </c>
      <c r="M14" t="inlineStr">
        <is>
          <t>2020-05</t>
        </is>
      </c>
      <c r="N14" t="inlineStr"/>
      <c r="O14" t="inlineStr"/>
      <c r="P14" t="b">
        <v>0</v>
      </c>
      <c r="Q14" t="b">
        <v>0</v>
      </c>
      <c r="R14" t="b">
        <v>0</v>
      </c>
      <c r="S14">
        <f>HYPERLINK("https://www.pv-magazine.com/2020/05/19/wafer-production-comes-back-to-spain/", "source")</f>
        <v/>
      </c>
      <c r="T14" t="inlineStr"/>
      <c r="U14">
        <f>HYPERLINK("https://www.pv-magazine.com/2020/05/19/wafer-production-comes-back-to-spain/", "source")</f>
        <v/>
      </c>
      <c r="V14">
        <f>HYPERLINK("https://www.pv-magazine.com/2020/05/19/wafer-production-comes-back-to-spain/", "source")</f>
        <v/>
      </c>
      <c r="W14" t="inlineStr"/>
      <c r="X14" t="inlineStr"/>
      <c r="Y14" t="inlineStr">
        <is>
          <t>32a4ca61-e64d-51ae-9e5a-4824e777793b</t>
        </is>
      </c>
    </row>
    <row r="15">
      <c r="A15" t="inlineStr">
        <is>
          <t>avancis</t>
        </is>
      </c>
      <c r="B15" t="inlineStr">
        <is>
          <t>DE</t>
        </is>
      </c>
      <c r="C15" t="inlineStr">
        <is>
          <t>Torgau</t>
        </is>
      </c>
      <c r="D15" t="inlineStr">
        <is>
          <t>solar</t>
        </is>
      </c>
      <c r="E15" t="inlineStr">
        <is>
          <t>module</t>
        </is>
      </c>
      <c r="F15" t="n">
        <v>1</v>
      </c>
      <c r="G15" t="inlineStr">
        <is>
          <t>operational</t>
        </is>
      </c>
      <c r="H15" t="n">
        <v>0.02</v>
      </c>
      <c r="I15" t="n">
        <v>0.02</v>
      </c>
      <c r="J15" t="n">
        <v>1660000</v>
      </c>
      <c r="K15" t="n">
        <v>1660000</v>
      </c>
      <c r="L15" t="b">
        <v>1</v>
      </c>
      <c r="M15" t="inlineStr">
        <is>
          <t>2007-06</t>
        </is>
      </c>
      <c r="N15" t="inlineStr">
        <is>
          <t>2007-06</t>
        </is>
      </c>
      <c r="O15" t="inlineStr">
        <is>
          <t>2010-06</t>
        </is>
      </c>
      <c r="P15" t="b">
        <v>1</v>
      </c>
      <c r="Q15" t="b">
        <v>1</v>
      </c>
      <c r="R15" t="b">
        <v>0</v>
      </c>
      <c r="S15">
        <f>HYPERLINK("https://solarpowermanagement.net/article/74703/Avancis_increases_CIS_production_capacity_six-fold#:~:text=completed%20on%20schedule%20within%20just%2018%20months", "source")</f>
        <v/>
      </c>
      <c r="T15">
        <f>HYPERLINK("https://solarpowermanagement.net/article/74703/Avancis_increases_CIS_production_capacity_six-fold#:~:text=completed%20on%20schedule%20within%20just%2018%20months", "source")</f>
        <v/>
      </c>
      <c r="U15">
        <f>HYPERLINK("https://solarpowermanagement.net/article/74703/Avancis_increases_CIS_production_capacity_six-fold#:~:text=completed%20on%20schedule%20within%20just%2018%20months", "source")</f>
        <v/>
      </c>
      <c r="V15" t="inlineStr"/>
      <c r="W15" t="inlineStr"/>
      <c r="X15">
        <f>HYPERLINK("https://www.pv-tech.org/avancis_breaks_ground_on_100mw_3rd_gen_cis_thin_film_plant/#:~:text=expected%20to%20be%20completed%20within%20the%20next%2018%20months", "source")</f>
        <v/>
      </c>
      <c r="Y15" t="inlineStr">
        <is>
          <t>1b5ff12f-688b-5fc0-8873-baff20666ce8</t>
        </is>
      </c>
    </row>
    <row r="16">
      <c r="A16" t="inlineStr">
        <is>
          <t>avancis</t>
        </is>
      </c>
      <c r="B16" t="inlineStr">
        <is>
          <t>DE</t>
        </is>
      </c>
      <c r="C16" t="inlineStr">
        <is>
          <t>Torgau</t>
        </is>
      </c>
      <c r="D16" t="inlineStr">
        <is>
          <t>solar</t>
        </is>
      </c>
      <c r="E16" t="inlineStr">
        <is>
          <t>module</t>
        </is>
      </c>
      <c r="F16" t="n">
        <v>2</v>
      </c>
      <c r="G16" t="inlineStr">
        <is>
          <t>operational</t>
        </is>
      </c>
      <c r="H16" t="n">
        <v>0.09999999999999999</v>
      </c>
      <c r="I16" t="n">
        <v>0.12</v>
      </c>
      <c r="J16" t="n">
        <v>8299999.999999999</v>
      </c>
      <c r="K16" t="n">
        <v>9960000</v>
      </c>
      <c r="L16" t="b">
        <v>1</v>
      </c>
      <c r="M16" t="inlineStr">
        <is>
          <t>2010-06</t>
        </is>
      </c>
      <c r="N16" t="inlineStr">
        <is>
          <t>2010-06</t>
        </is>
      </c>
      <c r="O16" t="inlineStr">
        <is>
          <t>2011-12</t>
        </is>
      </c>
      <c r="P16" t="b">
        <v>0</v>
      </c>
      <c r="Q16" t="b">
        <v>0</v>
      </c>
      <c r="R16" t="b">
        <v>0</v>
      </c>
      <c r="S16">
        <f>HYPERLINK("https://solarpowermanagement.net/article/74703/Avancis_increases_CIS_production_capacity_six-fold#:~:text=completed%20on%20schedule%20within%20just%2018%20months", "source")</f>
        <v/>
      </c>
      <c r="T16">
        <f>HYPERLINK("https://solarpowermanagement.net/article/74703/Avancis_increases_CIS_production_capacity_six-fold#:~:text=completed%20on%20schedule%20within%20just%2018%20months", "source")</f>
        <v/>
      </c>
      <c r="U16">
        <f>HYPERLINK("https://solarpowermanagement.net/article/74703/Avancis_increases_CIS_production_capacity_six-fold#:~:text=completed%20on%20schedule%20within%20just%2018%20months", "source")</f>
        <v/>
      </c>
      <c r="V16">
        <f>HYPERLINK("https://www.pv-tech.org/avancis_breaks_ground_on_100mw_3rd_gen_cis_thin_film_plant/#:~:text=expected%20to%20be%20completed%20within%20the%20next%2018%20months", "source")</f>
        <v/>
      </c>
      <c r="W16">
        <f>HYPERLINK("https://www.pv-tech.org/avancis_breaks_ground_on_100mw_3rd_gen_cis_thin_film_plant/#:~:text=expected%20to%20be%20completed%20within%20the%20next%2018%20months", "source")</f>
        <v/>
      </c>
      <c r="X16">
        <f>HYPERLINK("https://solarpowermanagement.net/article/74703/Avancis_increases_CIS_production_capacity_six-fold#:~:text=completed%20on%20schedule%20within%20just%2018%20months", "source")</f>
        <v/>
      </c>
      <c r="Y16" t="inlineStr">
        <is>
          <t>1b5ff12f-688b-5fc0-8873-baff20666ce8</t>
        </is>
      </c>
    </row>
    <row r="17">
      <c r="A17" t="inlineStr">
        <is>
          <t>bisol group</t>
        </is>
      </c>
      <c r="B17" t="inlineStr">
        <is>
          <t>SI</t>
        </is>
      </c>
      <c r="C17" t="inlineStr">
        <is>
          <t>Murska Sobota</t>
        </is>
      </c>
      <c r="D17" t="inlineStr">
        <is>
          <t>solar</t>
        </is>
      </c>
      <c r="E17" t="inlineStr">
        <is>
          <t>module</t>
        </is>
      </c>
      <c r="F17" t="n">
        <v>1</v>
      </c>
      <c r="G17" t="inlineStr">
        <is>
          <t>announced</t>
        </is>
      </c>
      <c r="H17" t="n">
        <v>1.5</v>
      </c>
      <c r="I17" t="n">
        <v>1.5</v>
      </c>
      <c r="J17" t="n">
        <v>32300000</v>
      </c>
      <c r="K17" t="n">
        <v>32300000</v>
      </c>
      <c r="L17" t="b">
        <v>0</v>
      </c>
      <c r="M17" t="inlineStr">
        <is>
          <t>2025-06</t>
        </is>
      </c>
      <c r="N17" t="inlineStr"/>
      <c r="O17" t="inlineStr"/>
      <c r="P17" t="b">
        <v>0</v>
      </c>
      <c r="Q17" t="b">
        <v>0</v>
      </c>
      <c r="R17" t="b">
        <v>0</v>
      </c>
      <c r="S17">
        <f>HYPERLINK("https://balkangreenenergynews.com/solar-module-maker-bisol-to-triple-production-capacity-with-new-slovenian-plant/", "source")</f>
        <v/>
      </c>
      <c r="T17">
        <f>HYPERLINK("https://balkangreenenergynews.com/solar-module-maker-bisol-to-triple-production-capacity-with-new-slovenian-plant/", "source")</f>
        <v/>
      </c>
      <c r="U17">
        <f>HYPERLINK("https://balkangreenenergynews.com/solar-module-maker-bisol-to-triple-production-capacity-with-new-slovenian-plant/", "source")</f>
        <v/>
      </c>
      <c r="V17">
        <f>HYPERLINK("https://balkangreenenergynews.com/solar-module-maker-bisol-to-triple-production-capacity-with-new-slovenian-plant/", "source")</f>
        <v/>
      </c>
      <c r="W17" t="inlineStr"/>
      <c r="X17" t="inlineStr"/>
      <c r="Y17" t="inlineStr">
        <is>
          <t>b8503407-6b60-5c46-9a8b-9cf95c4e1d97</t>
        </is>
      </c>
    </row>
    <row r="18">
      <c r="A18" t="inlineStr">
        <is>
          <t>bisol group</t>
        </is>
      </c>
      <c r="B18" t="inlineStr">
        <is>
          <t>SI</t>
        </is>
      </c>
      <c r="C18" t="inlineStr">
        <is>
          <t>Prebold</t>
        </is>
      </c>
      <c r="D18" t="inlineStr">
        <is>
          <t>solar</t>
        </is>
      </c>
      <c r="E18" t="inlineStr">
        <is>
          <t>module</t>
        </is>
      </c>
      <c r="F18" t="n">
        <v>1</v>
      </c>
      <c r="G18" t="inlineStr">
        <is>
          <t>operational</t>
        </is>
      </c>
      <c r="H18" t="n">
        <v>0.75</v>
      </c>
      <c r="I18" t="n">
        <v>0.75</v>
      </c>
      <c r="J18" t="n">
        <v>62250000</v>
      </c>
      <c r="K18" t="n">
        <v>62250000</v>
      </c>
      <c r="L18" t="b">
        <v>1</v>
      </c>
      <c r="M18" t="inlineStr">
        <is>
          <t>2022-06</t>
        </is>
      </c>
      <c r="N18" t="inlineStr">
        <is>
          <t>2022-06</t>
        </is>
      </c>
      <c r="O18" t="inlineStr">
        <is>
          <t>2025-06</t>
        </is>
      </c>
      <c r="P18" t="b">
        <v>1</v>
      </c>
      <c r="Q18" t="b">
        <v>1</v>
      </c>
      <c r="R18" t="b">
        <v>0</v>
      </c>
      <c r="S18">
        <f>HYPERLINK("https://balkangreenenergynews.com/solar-module-maker-bisol-to-triple-production-capacity-with-new-slovenian-plant/", "source")</f>
        <v/>
      </c>
      <c r="T18">
        <f>HYPERLINK("https://balkangreenenergynews.com/solar-module-maker-bisol-to-triple-production-capacity-with-new-slovenian-plant/", "source")</f>
        <v/>
      </c>
      <c r="U18">
        <f>HYPERLINK("https://balkangreenenergynews.com/solar-module-maker-bisol-to-triple-production-capacity-with-new-slovenian-plant/", "source")</f>
        <v/>
      </c>
      <c r="V18" t="inlineStr"/>
      <c r="W18" t="inlineStr"/>
      <c r="X18">
        <f>HYPERLINK("https://balkangreenenergynews.com/solar-module-maker-bisol-to-triple-production-capacity-with-new-slovenian-plant/", "source")</f>
        <v/>
      </c>
      <c r="Y18" t="inlineStr">
        <is>
          <t>8788cbea-b91d-5059-8eac-c161e82542ff</t>
        </is>
      </c>
    </row>
    <row r="19">
      <c r="A19" t="inlineStr">
        <is>
          <t>bruk bet solar</t>
        </is>
      </c>
      <c r="B19" t="inlineStr">
        <is>
          <t>PL</t>
        </is>
      </c>
      <c r="C19" t="inlineStr">
        <is>
          <t>Tarnów</t>
        </is>
      </c>
      <c r="D19" t="inlineStr">
        <is>
          <t>solar</t>
        </is>
      </c>
      <c r="E19" t="inlineStr">
        <is>
          <t>module</t>
        </is>
      </c>
      <c r="F19" t="n">
        <v>1</v>
      </c>
      <c r="G19" t="inlineStr">
        <is>
          <t>operational</t>
        </is>
      </c>
      <c r="H19" t="n">
        <v>0.03</v>
      </c>
      <c r="I19" t="n">
        <v>0.03</v>
      </c>
      <c r="J19" t="n">
        <v>2490000</v>
      </c>
      <c r="K19" t="n">
        <v>2490000</v>
      </c>
      <c r="L19" t="b">
        <v>1</v>
      </c>
      <c r="M19" t="inlineStr">
        <is>
          <t>2014-06</t>
        </is>
      </c>
      <c r="N19" t="inlineStr">
        <is>
          <t>2014-06</t>
        </is>
      </c>
      <c r="O19" t="inlineStr">
        <is>
          <t>2017-06</t>
        </is>
      </c>
      <c r="P19" t="b">
        <v>1</v>
      </c>
      <c r="Q19" t="b">
        <v>1</v>
      </c>
      <c r="R19" t="b">
        <v>0</v>
      </c>
      <c r="S19">
        <f>HYPERLINK("https://www.pv-magazine.com/2017/06/06/polish-module-maker-bruk-bet-solar-raises-annual-capacity-to-120-mw/", "source")</f>
        <v/>
      </c>
      <c r="T19">
        <f>HYPERLINK("https://www.pv-magazine.com/2017/06/06/polish-module-maker-bruk-bet-solar-raises-annual-capacity-to-120-mw/", "source")</f>
        <v/>
      </c>
      <c r="U19">
        <f>HYPERLINK("https://www.pv-magazine.com/2017/06/06/polish-module-maker-bruk-bet-solar-raises-annual-capacity-to-120-mw/", "source")</f>
        <v/>
      </c>
      <c r="V19" t="inlineStr"/>
      <c r="W19" t="inlineStr"/>
      <c r="X19">
        <f>HYPERLINK("https://www.pv-magazine.com/2017/06/06/polish-module-maker-bruk-bet-solar-raises-annual-capacity-to-120-mw/", "source")</f>
        <v/>
      </c>
      <c r="Y19" t="inlineStr">
        <is>
          <t>ef53897e-dd73-5eeb-96b0-354cd3e31656</t>
        </is>
      </c>
    </row>
    <row r="20">
      <c r="A20" t="inlineStr">
        <is>
          <t>bruk bet solar</t>
        </is>
      </c>
      <c r="B20" t="inlineStr">
        <is>
          <t>PL</t>
        </is>
      </c>
      <c r="C20" t="inlineStr">
        <is>
          <t>Tarnów</t>
        </is>
      </c>
      <c r="D20" t="inlineStr">
        <is>
          <t>solar</t>
        </is>
      </c>
      <c r="E20" t="inlineStr">
        <is>
          <t>module</t>
        </is>
      </c>
      <c r="F20" t="n">
        <v>2</v>
      </c>
      <c r="G20" t="inlineStr">
        <is>
          <t>operational</t>
        </is>
      </c>
      <c r="H20" t="n">
        <v>0.09</v>
      </c>
      <c r="I20" t="n">
        <v>0.12</v>
      </c>
      <c r="J20" t="n">
        <v>7470000</v>
      </c>
      <c r="K20" t="n">
        <v>9960000</v>
      </c>
      <c r="L20" t="b">
        <v>1</v>
      </c>
      <c r="M20" t="inlineStr">
        <is>
          <t>2014-06</t>
        </is>
      </c>
      <c r="N20" t="inlineStr">
        <is>
          <t>2014-06</t>
        </is>
      </c>
      <c r="O20" t="inlineStr">
        <is>
          <t>2017-06</t>
        </is>
      </c>
      <c r="P20" t="b">
        <v>1</v>
      </c>
      <c r="Q20" t="b">
        <v>1</v>
      </c>
      <c r="R20" t="b">
        <v>0</v>
      </c>
      <c r="S20">
        <f>HYPERLINK("https://www.pv-magazine.com/2017/06/06/polish-module-maker-bruk-bet-solar-raises-annual-capacity-to-120-mw/", "source")</f>
        <v/>
      </c>
      <c r="T20">
        <f>HYPERLINK("https://www.pv-magazine.com/2017/06/06/polish-module-maker-bruk-bet-solar-raises-annual-capacity-to-120-mw/", "source")</f>
        <v/>
      </c>
      <c r="U20">
        <f>HYPERLINK("https://www.pv-magazine.com/2017/06/06/polish-module-maker-bruk-bet-solar-raises-annual-capacity-to-120-mw/", "source")</f>
        <v/>
      </c>
      <c r="V20" t="inlineStr"/>
      <c r="W20" t="inlineStr"/>
      <c r="X20">
        <f>HYPERLINK("https://www.pv-magazine.com/2017/06/06/polish-module-maker-bruk-bet-solar-raises-annual-capacity-to-120-mw/", "source")</f>
        <v/>
      </c>
      <c r="Y20" t="inlineStr">
        <is>
          <t>ef53897e-dd73-5eeb-96b0-354cd3e31656</t>
        </is>
      </c>
    </row>
    <row r="21">
      <c r="A21" t="inlineStr">
        <is>
          <t>carbon</t>
        </is>
      </c>
      <c r="B21" t="inlineStr">
        <is>
          <t>FR</t>
        </is>
      </c>
      <c r="C21" t="inlineStr">
        <is>
          <t>Fos-sur-Mer</t>
        </is>
      </c>
      <c r="D21" t="inlineStr">
        <is>
          <t>solar</t>
        </is>
      </c>
      <c r="E21" t="inlineStr">
        <is>
          <t>cell, ingot_wafer, module</t>
        </is>
      </c>
      <c r="F21" t="n">
        <v>1</v>
      </c>
      <c r="G21" t="inlineStr">
        <is>
          <t>operational</t>
        </is>
      </c>
      <c r="H21" t="n">
        <v>0.5</v>
      </c>
      <c r="I21" t="n">
        <v>0.5</v>
      </c>
      <c r="J21" t="n">
        <v>41500000</v>
      </c>
      <c r="K21" t="n">
        <v>41500000</v>
      </c>
      <c r="L21" t="b">
        <v>1</v>
      </c>
      <c r="M21" t="inlineStr">
        <is>
          <t>2022-05</t>
        </is>
      </c>
      <c r="N21" t="inlineStr">
        <is>
          <t>2022-05</t>
        </is>
      </c>
      <c r="O21" t="inlineStr">
        <is>
          <t>2025-05</t>
        </is>
      </c>
      <c r="P21" t="b">
        <v>1</v>
      </c>
      <c r="Q21" t="b">
        <v>1</v>
      </c>
      <c r="R21" t="b">
        <v>0</v>
      </c>
      <c r="S21">
        <f>HYPERLINK("https://www.world-energy.org/article/51711.html", "source")</f>
        <v/>
      </c>
      <c r="T21">
        <f>HYPERLINK("https://www.world-energy.org/article/51711.html", "source")</f>
        <v/>
      </c>
      <c r="U21">
        <f>HYPERLINK("https://www.world-energy.org/article/51711.html", "source")</f>
        <v/>
      </c>
      <c r="V21" t="inlineStr"/>
      <c r="W21" t="inlineStr"/>
      <c r="X21">
        <f>HYPERLINK("https://www.world-energy.org/article/51711.html", "source")</f>
        <v/>
      </c>
      <c r="Y21" t="inlineStr">
        <is>
          <t>04845c13-9fbc-5c9f-9096-21d9b5097cf7</t>
        </is>
      </c>
    </row>
    <row r="22">
      <c r="A22" t="inlineStr">
        <is>
          <t>carbon</t>
        </is>
      </c>
      <c r="B22" t="inlineStr">
        <is>
          <t>FR</t>
        </is>
      </c>
      <c r="C22" t="inlineStr">
        <is>
          <t>Fos-sur-Mer</t>
        </is>
      </c>
      <c r="D22" t="inlineStr">
        <is>
          <t>solar</t>
        </is>
      </c>
      <c r="E22" t="inlineStr">
        <is>
          <t>cell, ingot_wafer, module</t>
        </is>
      </c>
      <c r="F22" t="n">
        <v>2</v>
      </c>
      <c r="G22" t="inlineStr">
        <is>
          <t>under construction</t>
        </is>
      </c>
      <c r="H22" t="n">
        <v>3</v>
      </c>
      <c r="I22" t="n">
        <v>3.5</v>
      </c>
      <c r="J22" t="n">
        <v>1658500000</v>
      </c>
      <c r="K22" t="n">
        <v>1700000000</v>
      </c>
      <c r="L22" t="b">
        <v>0</v>
      </c>
      <c r="M22" t="inlineStr">
        <is>
          <t>2023-03</t>
        </is>
      </c>
      <c r="N22" t="inlineStr">
        <is>
          <t>2025-05</t>
        </is>
      </c>
      <c r="O22" t="inlineStr">
        <is>
          <t>2028-05</t>
        </is>
      </c>
      <c r="P22" t="b">
        <v>0</v>
      </c>
      <c r="Q22" t="b">
        <v>0</v>
      </c>
      <c r="R22" t="b">
        <v>1</v>
      </c>
      <c r="S22">
        <f>HYPERLINK("https://www.world-energy.org/article/51711.html", "source")</f>
        <v/>
      </c>
      <c r="T22">
        <f>HYPERLINK("https://www.world-energy.org/article/51711.html", "source")</f>
        <v/>
      </c>
      <c r="U22">
        <f>HYPERLINK("https://www.pv-magazine.com/2024/09/23/carbon-acquires-photowatt/", "source")</f>
        <v/>
      </c>
      <c r="V22">
        <f>HYPERLINK("https://www.pv-magazine.com/2023/03/06/french-manufacturer-chooses-5-gw-solar-factory-site/", "source")</f>
        <v/>
      </c>
      <c r="W22">
        <f>HYPERLINK("https://www.world-energy.org/article/51711.html", "source")</f>
        <v/>
      </c>
      <c r="X22" t="inlineStr"/>
      <c r="Y22" t="inlineStr">
        <is>
          <t>04845c13-9fbc-5c9f-9096-21d9b5097cf7</t>
        </is>
      </c>
    </row>
    <row r="23">
      <c r="A23" t="inlineStr">
        <is>
          <t>carbon</t>
        </is>
      </c>
      <c r="B23" t="inlineStr">
        <is>
          <t>FR</t>
        </is>
      </c>
      <c r="C23" t="inlineStr">
        <is>
          <t>Fos-sur-Mer</t>
        </is>
      </c>
      <c r="D23" t="inlineStr">
        <is>
          <t>solar</t>
        </is>
      </c>
      <c r="E23" t="inlineStr">
        <is>
          <t>cell, ingot_wafer, module</t>
        </is>
      </c>
      <c r="F23" t="n">
        <v>3</v>
      </c>
      <c r="G23" t="inlineStr">
        <is>
          <t>under construction</t>
        </is>
      </c>
      <c r="H23" t="n">
        <v>1.5</v>
      </c>
      <c r="I23" t="n">
        <v>5</v>
      </c>
      <c r="J23" t="n">
        <v>0</v>
      </c>
      <c r="K23" t="n">
        <v>1700000000</v>
      </c>
      <c r="L23" t="b">
        <v>0</v>
      </c>
      <c r="M23" t="inlineStr">
        <is>
          <t>2023-03</t>
        </is>
      </c>
      <c r="N23" t="inlineStr">
        <is>
          <t>2025-05</t>
        </is>
      </c>
      <c r="O23" t="inlineStr">
        <is>
          <t>2028-05</t>
        </is>
      </c>
      <c r="P23" t="b">
        <v>0</v>
      </c>
      <c r="Q23" t="b">
        <v>0</v>
      </c>
      <c r="R23" t="b">
        <v>1</v>
      </c>
      <c r="S23">
        <f>HYPERLINK("https://www.world-energy.org/article/51711.html", "source")</f>
        <v/>
      </c>
      <c r="T23">
        <f>HYPERLINK("https://www.world-energy.org/article/51711.html", "source")</f>
        <v/>
      </c>
      <c r="U23">
        <f>HYPERLINK("https://www.pv-magazine.com/2024/09/23/carbon-acquires-photowatt/", "source")</f>
        <v/>
      </c>
      <c r="V23">
        <f>HYPERLINK("https://www.pv-magazine.com/2023/03/06/french-manufacturer-chooses-5-gw-solar-factory-site/", "source")</f>
        <v/>
      </c>
      <c r="W23">
        <f>HYPERLINK("https://www.world-energy.org/article/51711.html", "source")</f>
        <v/>
      </c>
      <c r="X23" t="inlineStr"/>
      <c r="Y23" t="inlineStr">
        <is>
          <t>04845c13-9fbc-5c9f-9096-21d9b5097cf7</t>
        </is>
      </c>
    </row>
    <row r="24">
      <c r="A24" t="inlineStr">
        <is>
          <t>comal</t>
        </is>
      </c>
      <c r="B24" t="inlineStr">
        <is>
          <t>IT</t>
        </is>
      </c>
      <c r="C24" t="inlineStr">
        <is>
          <t>L'Aquila</t>
        </is>
      </c>
      <c r="D24" t="inlineStr">
        <is>
          <t>solar</t>
        </is>
      </c>
      <c r="E24" t="inlineStr">
        <is>
          <t>module</t>
        </is>
      </c>
      <c r="F24" t="n">
        <v>1</v>
      </c>
      <c r="G24" t="inlineStr">
        <is>
          <t>under construction</t>
        </is>
      </c>
      <c r="H24" t="n">
        <v>0.5</v>
      </c>
      <c r="I24" t="n">
        <v>0.5</v>
      </c>
      <c r="J24" t="n">
        <v>16100000</v>
      </c>
      <c r="K24" t="n">
        <v>16100000</v>
      </c>
      <c r="L24" t="b">
        <v>0</v>
      </c>
      <c r="M24" t="inlineStr">
        <is>
          <t>2024-01</t>
        </is>
      </c>
      <c r="N24" t="inlineStr">
        <is>
          <t>2024-07</t>
        </is>
      </c>
      <c r="O24" t="inlineStr">
        <is>
          <t>2027-07</t>
        </is>
      </c>
      <c r="P24" t="b">
        <v>0</v>
      </c>
      <c r="Q24" t="b">
        <v>0</v>
      </c>
      <c r="R24" t="b">
        <v>1</v>
      </c>
      <c r="S24">
        <f>HYPERLINK("https://www.pv-magazine.com/author/sergiomatalucci/", "source")</f>
        <v/>
      </c>
      <c r="T24">
        <f>HYPERLINK("https://www.pv-magazine.com/author/sergiomatalucci/", "source")</f>
        <v/>
      </c>
      <c r="U24">
        <f>HYPERLINK("https://www.energy-box.com/post/500-mw-solar-factory-site-purchased-by-comal-in-italy", "source")</f>
        <v/>
      </c>
      <c r="V24">
        <f>HYPERLINK("https://taiyangnews.info/markets/italian-epc-company-venturing-into-pv-manufacturing", "source")</f>
        <v/>
      </c>
      <c r="W24">
        <f>HYPERLINK("https://www.pv-magazine.com/category/manufacturing/modules-upstream-manufacturing/page/5/", "source")</f>
        <v/>
      </c>
      <c r="X24" t="inlineStr"/>
      <c r="Y24" t="inlineStr">
        <is>
          <t>c692751f-bc73-5378-8d2c-9c32f3b64555</t>
        </is>
      </c>
    </row>
    <row r="25">
      <c r="A25" t="inlineStr">
        <is>
          <t>comal</t>
        </is>
      </c>
      <c r="B25" t="inlineStr">
        <is>
          <t>IT</t>
        </is>
      </c>
      <c r="C25" t="inlineStr">
        <is>
          <t>Valsamoggia</t>
        </is>
      </c>
      <c r="D25" t="inlineStr">
        <is>
          <t>solar</t>
        </is>
      </c>
      <c r="E25" t="inlineStr">
        <is>
          <t>module</t>
        </is>
      </c>
      <c r="F25" t="n">
        <v>1</v>
      </c>
      <c r="G25" t="inlineStr">
        <is>
          <t>under construction</t>
        </is>
      </c>
      <c r="H25" t="n">
        <v>0.5</v>
      </c>
      <c r="I25" t="n">
        <v>0.5</v>
      </c>
      <c r="J25" t="n">
        <v>41500000</v>
      </c>
      <c r="K25" t="n">
        <v>41500000</v>
      </c>
      <c r="L25" t="b">
        <v>1</v>
      </c>
      <c r="M25" t="inlineStr">
        <is>
          <t>2024-07</t>
        </is>
      </c>
      <c r="N25" t="inlineStr">
        <is>
          <t>2024-07</t>
        </is>
      </c>
      <c r="O25" t="inlineStr">
        <is>
          <t>2027-07</t>
        </is>
      </c>
      <c r="P25" t="b">
        <v>0</v>
      </c>
      <c r="Q25" t="b">
        <v>0</v>
      </c>
      <c r="R25" t="b">
        <v>1</v>
      </c>
      <c r="S25">
        <f>HYPERLINK("https://www.pv-magazine.com/2024/07/25/comal-plans-500-mw-solar-module-factory-in-italy/", "source")</f>
        <v/>
      </c>
      <c r="T25">
        <f>HYPERLINK("https://www.pv-magazine.com/2024/07/25/comal-plans-500-mw-solar-module-factory-in-italy/", "source")</f>
        <v/>
      </c>
      <c r="U25">
        <f>HYPERLINK("https://www.pv-magazine.com/2024/07/25/comal-plans-500-mw-solar-module-factory-in-italy/", "source")</f>
        <v/>
      </c>
      <c r="V25">
        <f>HYPERLINK("https://www.pv-magazine.com/2024/07/25/comal-plans-500-mw-solar-module-factory-in-italy/", "source")</f>
        <v/>
      </c>
      <c r="W25">
        <f>HYPERLINK("https://www.pv-magazine.com/2024/07/25/comal-plans-500-mw-solar-module-factory-in-italy/", "source")</f>
        <v/>
      </c>
      <c r="X25" t="inlineStr"/>
      <c r="Y25" t="inlineStr">
        <is>
          <t>a7d0f545-ad44-5cb7-b0ea-90c068c3671f</t>
        </is>
      </c>
    </row>
    <row r="26">
      <c r="A26" t="inlineStr">
        <is>
          <t>das solar</t>
        </is>
      </c>
      <c r="B26" t="inlineStr">
        <is>
          <t>FR</t>
        </is>
      </c>
      <c r="C26" t="inlineStr">
        <is>
          <t>Mandeure</t>
        </is>
      </c>
      <c r="D26" t="inlineStr">
        <is>
          <t>solar</t>
        </is>
      </c>
      <c r="E26" t="inlineStr">
        <is>
          <t>module</t>
        </is>
      </c>
      <c r="F26" t="n">
        <v>1</v>
      </c>
      <c r="G26" t="inlineStr">
        <is>
          <t>announced</t>
        </is>
      </c>
      <c r="H26" t="n">
        <v>3</v>
      </c>
      <c r="I26" t="n">
        <v>3</v>
      </c>
      <c r="J26" t="n">
        <v>109000000</v>
      </c>
      <c r="K26" t="n">
        <v>109000000</v>
      </c>
      <c r="L26" t="b">
        <v>0</v>
      </c>
      <c r="M26" t="inlineStr">
        <is>
          <t>2024-11</t>
        </is>
      </c>
      <c r="N26" t="inlineStr"/>
      <c r="O26" t="inlineStr"/>
      <c r="P26" t="b">
        <v>0</v>
      </c>
      <c r="Q26" t="b">
        <v>0</v>
      </c>
      <c r="R26" t="b">
        <v>0</v>
      </c>
      <c r="S26">
        <f>HYPERLINK("https://www.pv-magazine.com/author/gwenaelledeboutte/", "source")</f>
        <v/>
      </c>
      <c r="T26">
        <f>HYPERLINK("https://www.pv-magazine.com/2024/11/19/das-solar-to-build-3-gw-solar-module-factory-in-france/", "source")</f>
        <v/>
      </c>
      <c r="U26">
        <f>HYPERLINK("https://www.pv-magazine.com/author/gwenaelledeboutte/", "source")</f>
        <v/>
      </c>
      <c r="V26">
        <f>HYPERLINK("https://www.pv-magazine.com/2024/11/19/das-solar-to-build-3-gw-solar-module-factory-in-france/", "source")</f>
        <v/>
      </c>
      <c r="W26" t="inlineStr"/>
      <c r="X26" t="inlineStr"/>
      <c r="Y26" t="inlineStr">
        <is>
          <t>095611ed-d1d1-5c64-974a-f040a638948b</t>
        </is>
      </c>
    </row>
    <row r="27">
      <c r="A27" t="inlineStr">
        <is>
          <t>dracula technologies</t>
        </is>
      </c>
      <c r="B27" t="inlineStr">
        <is>
          <t>FR</t>
        </is>
      </c>
      <c r="C27" t="inlineStr">
        <is>
          <t>Valence</t>
        </is>
      </c>
      <c r="D27" t="inlineStr">
        <is>
          <t>solar</t>
        </is>
      </c>
      <c r="E27" t="inlineStr">
        <is>
          <t>module</t>
        </is>
      </c>
      <c r="F27" t="n">
        <v>1</v>
      </c>
      <c r="G27" t="inlineStr">
        <is>
          <t>operational</t>
        </is>
      </c>
      <c r="H27" t="n">
        <v>0.0007</v>
      </c>
      <c r="I27" t="n">
        <v>0.0007</v>
      </c>
      <c r="J27" t="n">
        <v>15000000</v>
      </c>
      <c r="K27" t="n">
        <v>15000000</v>
      </c>
      <c r="L27" t="b">
        <v>0</v>
      </c>
      <c r="M27" t="inlineStr">
        <is>
          <t>2023-10</t>
        </is>
      </c>
      <c r="N27" t="inlineStr">
        <is>
          <t>2023-10</t>
        </is>
      </c>
      <c r="O27" t="inlineStr">
        <is>
          <t>2023-10</t>
        </is>
      </c>
      <c r="P27" t="b">
        <v>0</v>
      </c>
      <c r="Q27" t="b">
        <v>0</v>
      </c>
      <c r="R27" t="b">
        <v>0</v>
      </c>
      <c r="S27">
        <f>HYPERLINK("https://www.pv-magazine.com/2024/09/30/dracula-technologies-relaunches-production-of-organic-photovoltaic-modules-in-france/", "source")</f>
        <v/>
      </c>
      <c r="T27">
        <f>HYPERLINK("https://www.pv-magazine.com/2024/09/30/dracula-technologies-relaunches-production-of-organic-photovoltaic-modules-in-france/", "source")</f>
        <v/>
      </c>
      <c r="U27">
        <f>HYPERLINK("https://www.pv-magazine.com/2023/10/19/dracula-technologies-builds-organic-pv-module-factory-in-france/", "source")</f>
        <v/>
      </c>
      <c r="V27">
        <f>HYPERLINK("https://www.pv-magazine.com/2023/10/19/dracula-technologies-builds-organic-pv-module-factory-in-france/", "source")</f>
        <v/>
      </c>
      <c r="W27">
        <f>HYPERLINK("https://www.pv-magazine.com/2023/10/19/dracula-technologies-builds-organic-pv-module-factory-in-france/", "source")</f>
        <v/>
      </c>
      <c r="X27">
        <f>HYPERLINK("https://www.pv-magazine.com/2023/10/19/dracula-technologies-builds-organic-pv-module-factory-in-france/", "source")</f>
        <v/>
      </c>
      <c r="Y27" t="inlineStr">
        <is>
          <t>ab958d6c-804b-53ec-8cc8-6b601343ee48</t>
        </is>
      </c>
    </row>
    <row r="28">
      <c r="A28" t="inlineStr">
        <is>
          <t>dracula technologies</t>
        </is>
      </c>
      <c r="B28" t="inlineStr">
        <is>
          <t>FR</t>
        </is>
      </c>
      <c r="C28" t="inlineStr">
        <is>
          <t>Valence</t>
        </is>
      </c>
      <c r="D28" t="inlineStr">
        <is>
          <t>solar</t>
        </is>
      </c>
      <c r="E28" t="inlineStr">
        <is>
          <t>module</t>
        </is>
      </c>
      <c r="F28" t="n">
        <v>2</v>
      </c>
      <c r="G28" t="inlineStr">
        <is>
          <t>announced</t>
        </is>
      </c>
      <c r="H28" t="n">
        <v>0.0018</v>
      </c>
      <c r="I28" t="n">
        <v>0.0025</v>
      </c>
      <c r="J28" t="n">
        <v>38571428.57142857</v>
      </c>
      <c r="K28" t="n">
        <v>53571428.57142857</v>
      </c>
      <c r="L28" t="b">
        <v>1</v>
      </c>
      <c r="M28" t="inlineStr">
        <is>
          <t>2024-09</t>
        </is>
      </c>
      <c r="N28" t="inlineStr"/>
      <c r="O28" t="inlineStr"/>
      <c r="P28" t="b">
        <v>0</v>
      </c>
      <c r="Q28" t="b">
        <v>0</v>
      </c>
      <c r="R28" t="b">
        <v>0</v>
      </c>
      <c r="S28">
        <f>HYPERLINK("https://www.pv-magazine.com/2024/09/30/dracula-technologies-relaunches-production-of-organic-photovoltaic-modules-in-france/", "source")</f>
        <v/>
      </c>
      <c r="T28">
        <f>HYPERLINK("https://www.pv-magazine.com/2024/09/30/dracula-technologies-relaunches-production-of-organic-photovoltaic-modules-in-france/", "source")</f>
        <v/>
      </c>
      <c r="U28">
        <f>HYPERLINK("https://www.pv-magazine.com/2024/09/30/dracula-technologies-relaunches-production-of-organic-photovoltaic-modules-in-france/", "source")</f>
        <v/>
      </c>
      <c r="V28">
        <f>HYPERLINK("https://www.pv-magazine.com/2024/09/30/dracula-technologies-relaunches-production-of-organic-photovoltaic-modules-in-france/", "source")</f>
        <v/>
      </c>
      <c r="W28" t="inlineStr"/>
      <c r="X28" t="inlineStr"/>
      <c r="Y28" t="inlineStr">
        <is>
          <t>ab958d6c-804b-53ec-8cc8-6b601343ee48</t>
        </is>
      </c>
    </row>
    <row r="29">
      <c r="A29" t="inlineStr">
        <is>
          <t>ecosolifer</t>
        </is>
      </c>
      <c r="B29" t="inlineStr">
        <is>
          <t>HU</t>
        </is>
      </c>
      <c r="C29" t="inlineStr">
        <is>
          <t>Győr-Moson-Sopron</t>
        </is>
      </c>
      <c r="D29" t="inlineStr">
        <is>
          <t>solar</t>
        </is>
      </c>
      <c r="E29" t="inlineStr">
        <is>
          <t>cell</t>
        </is>
      </c>
      <c r="F29" t="n">
        <v>1</v>
      </c>
      <c r="G29" t="inlineStr">
        <is>
          <t>operational</t>
        </is>
      </c>
      <c r="H29" t="n">
        <v>0.1</v>
      </c>
      <c r="I29" t="n">
        <v>0.1</v>
      </c>
      <c r="J29" t="n">
        <v>47732697</v>
      </c>
      <c r="K29" t="n">
        <v>47732697</v>
      </c>
      <c r="L29" t="b">
        <v>0</v>
      </c>
      <c r="M29" t="inlineStr">
        <is>
          <t>2014-09</t>
        </is>
      </c>
      <c r="N29" t="inlineStr">
        <is>
          <t>2018-08</t>
        </is>
      </c>
      <c r="O29" t="inlineStr">
        <is>
          <t>2020-03</t>
        </is>
      </c>
      <c r="P29" t="b">
        <v>0</v>
      </c>
      <c r="Q29" t="b">
        <v>0</v>
      </c>
      <c r="R29" t="b">
        <v>0</v>
      </c>
      <c r="S29">
        <f>HYPERLINK("https://www.pv-magazine.com/2020/03/03/a-commercial-bifacial-hjt-solar-cell-with-24-1-efficiency/", "source")</f>
        <v/>
      </c>
      <c r="T29">
        <f>HYPERLINK("https://www.pv-magazine.com/2020/03/03/a-commercial-bifacial-hjt-solar-cell-with-24-1-efficiency/", "source")</f>
        <v/>
      </c>
      <c r="U29">
        <f>HYPERLINK("https://bbj.hu/business/industry/pharma/ecosolifer-building-huf-15-bln-solar-panel-plant/", "source")</f>
        <v/>
      </c>
      <c r="V29">
        <f>HYPERLINK("https://bbj.hu/business/industry/pharma/ecosolifer-building-huf-15-bln-solar-panel-plant/", "source")</f>
        <v/>
      </c>
      <c r="W29">
        <f>HYPERLINK("https://www.pv-magazine.com/2018/08/21/hungary-ecosolifers-100-mw-hjt-cell-production-line-back-on-track/", "source")</f>
        <v/>
      </c>
      <c r="X29">
        <f>HYPERLINK("https://www.pv-magazine.com/2020/03/03/a-commercial-bifacial-hjt-solar-cell-with-24-1-efficiency/", "source")</f>
        <v/>
      </c>
      <c r="Y29" t="inlineStr">
        <is>
          <t>52c9d91f-5d8d-50b6-92bc-d5b2e7cb60be</t>
        </is>
      </c>
    </row>
    <row r="30">
      <c r="A30" t="inlineStr">
        <is>
          <t>enel</t>
        </is>
      </c>
      <c r="B30" t="inlineStr">
        <is>
          <t>IT</t>
        </is>
      </c>
      <c r="C30" t="inlineStr">
        <is>
          <t>Catania</t>
        </is>
      </c>
      <c r="D30" t="inlineStr">
        <is>
          <t>solar</t>
        </is>
      </c>
      <c r="E30" t="inlineStr">
        <is>
          <t>cell, module</t>
        </is>
      </c>
      <c r="F30" t="n">
        <v>1</v>
      </c>
      <c r="G30" t="inlineStr">
        <is>
          <t>operational</t>
        </is>
      </c>
      <c r="H30" t="n">
        <v>0.2</v>
      </c>
      <c r="I30" t="n">
        <v>0.2</v>
      </c>
      <c r="J30" t="n">
        <v>80000000</v>
      </c>
      <c r="K30" t="n">
        <v>80000000</v>
      </c>
      <c r="L30" t="b">
        <v>0</v>
      </c>
      <c r="M30" t="inlineStr">
        <is>
          <t>2008-07</t>
        </is>
      </c>
      <c r="N30" t="inlineStr">
        <is>
          <t>2008-07</t>
        </is>
      </c>
      <c r="O30" t="inlineStr">
        <is>
          <t>2011-07</t>
        </is>
      </c>
      <c r="P30" t="b">
        <v>1</v>
      </c>
      <c r="Q30" t="b">
        <v>1</v>
      </c>
      <c r="R30" t="b">
        <v>0</v>
      </c>
      <c r="S30">
        <f>HYPERLINK("https://www.pv-tech.org/enels-3sun-secures-e560-million-financing-for-3gw-heterojunction-module-plant-in-italy/", "source")</f>
        <v/>
      </c>
      <c r="T30">
        <f>HYPERLINK("https://www.pv-tech.org/enels-3sun-secures-e560-million-financing-for-3gw-heterojunction-module-plant-in-italy/", "source")</f>
        <v/>
      </c>
      <c r="U30">
        <f>HYPERLINK("https://www.pv-magazine.com/2022/10/08/the-weekend-read-catalyst-for-an-eu-solar-cell-module-comeback/", "source")</f>
        <v/>
      </c>
      <c r="V30" t="inlineStr"/>
      <c r="W30" t="inlineStr"/>
      <c r="X30">
        <f>HYPERLINK("https://www.enel.com/es/medios/explora/busqueda-comunicados-de-prensa/press/2011/07/italys-largest-photovoltaic-panel-plant-opens-its-doors", "source")</f>
        <v/>
      </c>
      <c r="Y30" t="inlineStr">
        <is>
          <t>3bf36288-2164-5d1d-a088-66ae40fe28a1</t>
        </is>
      </c>
    </row>
    <row r="31">
      <c r="A31" t="inlineStr">
        <is>
          <t>enel</t>
        </is>
      </c>
      <c r="B31" t="inlineStr">
        <is>
          <t>IT</t>
        </is>
      </c>
      <c r="C31" t="inlineStr">
        <is>
          <t>Catania</t>
        </is>
      </c>
      <c r="D31" t="inlineStr">
        <is>
          <t>solar</t>
        </is>
      </c>
      <c r="E31" t="inlineStr">
        <is>
          <t>cell, module</t>
        </is>
      </c>
      <c r="F31" t="n">
        <v>2</v>
      </c>
      <c r="G31" t="inlineStr">
        <is>
          <t>operational</t>
        </is>
      </c>
      <c r="H31" t="n">
        <v>2.8</v>
      </c>
      <c r="I31" t="n">
        <v>3</v>
      </c>
      <c r="J31" t="n">
        <v>480000000</v>
      </c>
      <c r="K31" t="n">
        <v>560000000</v>
      </c>
      <c r="L31" t="b">
        <v>0</v>
      </c>
      <c r="M31" t="inlineStr">
        <is>
          <t>2011-07</t>
        </is>
      </c>
      <c r="N31" t="inlineStr">
        <is>
          <t>2022-09</t>
        </is>
      </c>
      <c r="O31" t="inlineStr">
        <is>
          <t>2024-11</t>
        </is>
      </c>
      <c r="P31" t="b">
        <v>0</v>
      </c>
      <c r="Q31" t="b">
        <v>0</v>
      </c>
      <c r="R31" t="b">
        <v>0</v>
      </c>
      <c r="S31">
        <f>HYPERLINK("https://www.pv-magazine.com/2024/11/19/3sun-earns-tuv-rheinland-certification-clearing-way-for-pv-module-sales/", "source")</f>
        <v/>
      </c>
      <c r="T31">
        <f>HYPERLINK("https://www.pv-magazine.com/2024/11/19/3sun-earns-tuv-rheinland-certification-clearing-way-for-pv-module-sales/", "source")</f>
        <v/>
      </c>
      <c r="U31">
        <f>HYPERLINK("https://www.pv-magazine.com/2024/06/15/eu-set-to-dig-into-raw-materials-supply/", "source")</f>
        <v/>
      </c>
      <c r="V31">
        <f>HYPERLINK("https://www.enel.com/es/medios/explora/busqueda-comunicados-de-prensa/press/2011/07/italys-largest-photovoltaic-panel-plant-opens-its-doors", "source")</f>
        <v/>
      </c>
      <c r="W31">
        <f>HYPERLINK("https://www.pv-magazine.com/2022/09/26/enel-unveils-680-w-n-type-heterojunction-solar-panel-for-utility-scale-applications/", "source")</f>
        <v/>
      </c>
      <c r="X31">
        <f>HYPERLINK("https://www.pv-magazine.com/2024/11/19/3sun-earns-tuv-rheinland-certification-clearing-way-for-pv-module-sales/", "source")</f>
        <v/>
      </c>
      <c r="Y31" t="inlineStr">
        <is>
          <t>3bf36288-2164-5d1d-a088-66ae40fe28a1</t>
        </is>
      </c>
    </row>
    <row r="32">
      <c r="A32" t="inlineStr">
        <is>
          <t>energetica</t>
        </is>
      </c>
      <c r="B32" t="inlineStr">
        <is>
          <t>AT</t>
        </is>
      </c>
      <c r="C32" t="inlineStr">
        <is>
          <t>Liebenfels</t>
        </is>
      </c>
      <c r="D32" t="inlineStr">
        <is>
          <t>solar</t>
        </is>
      </c>
      <c r="E32" t="inlineStr">
        <is>
          <t>module</t>
        </is>
      </c>
      <c r="F32" t="n">
        <v>1</v>
      </c>
      <c r="G32" t="inlineStr">
        <is>
          <t>operational</t>
        </is>
      </c>
      <c r="H32" t="n">
        <v>0.55</v>
      </c>
      <c r="I32" t="n">
        <v>0.55</v>
      </c>
      <c r="J32" t="n">
        <v>45650000</v>
      </c>
      <c r="K32" t="n">
        <v>45650000</v>
      </c>
      <c r="L32" t="b">
        <v>1</v>
      </c>
      <c r="M32" t="inlineStr">
        <is>
          <t>2018-01</t>
        </is>
      </c>
      <c r="N32" t="inlineStr">
        <is>
          <t>2018-01</t>
        </is>
      </c>
      <c r="O32" t="inlineStr">
        <is>
          <t>2021-01</t>
        </is>
      </c>
      <c r="P32" t="b">
        <v>1</v>
      </c>
      <c r="Q32" t="b">
        <v>1</v>
      </c>
      <c r="R32" t="b">
        <v>0</v>
      </c>
      <c r="S32">
        <f>HYPERLINK("https://www.pv-magazine.com/2021/01/21/pv-magazine-award-the-winners/", "source")</f>
        <v/>
      </c>
      <c r="T32">
        <f>HYPERLINK("https://www.pv-magazine.com/2021/01/21/pv-magazine-award-the-winners/", "source")</f>
        <v/>
      </c>
      <c r="U32">
        <f>HYPERLINK("https://www.pv-magazine.com/2021/01/21/pv-magazine-award-the-winners/", "source")</f>
        <v/>
      </c>
      <c r="V32" t="inlineStr"/>
      <c r="W32" t="inlineStr"/>
      <c r="X32">
        <f>HYPERLINK("https://www.pv-magazine.com/2021/01/21/pv-magazine-award-the-winners/", "source")</f>
        <v/>
      </c>
      <c r="Y32" t="inlineStr">
        <is>
          <t>57d53335-c4f6-522b-9e5b-dcb625db2c71</t>
        </is>
      </c>
    </row>
    <row r="33">
      <c r="A33" t="inlineStr">
        <is>
          <t>energetica</t>
        </is>
      </c>
      <c r="B33" t="inlineStr">
        <is>
          <t>AT</t>
        </is>
      </c>
      <c r="C33" t="inlineStr">
        <is>
          <t>Liebenfels</t>
        </is>
      </c>
      <c r="D33" t="inlineStr">
        <is>
          <t>solar</t>
        </is>
      </c>
      <c r="E33" t="inlineStr">
        <is>
          <t>module</t>
        </is>
      </c>
      <c r="F33" t="n">
        <v>2</v>
      </c>
      <c r="G33" t="inlineStr">
        <is>
          <t>announced</t>
        </is>
      </c>
      <c r="H33" t="n">
        <v>0.45</v>
      </c>
      <c r="I33" t="n">
        <v>1</v>
      </c>
      <c r="J33" t="n">
        <v>37350000</v>
      </c>
      <c r="K33" t="n">
        <v>83000000</v>
      </c>
      <c r="L33" t="b">
        <v>1</v>
      </c>
      <c r="M33" t="inlineStr">
        <is>
          <t>2019-11</t>
        </is>
      </c>
      <c r="N33" t="inlineStr"/>
      <c r="O33" t="inlineStr"/>
      <c r="P33" t="b">
        <v>0</v>
      </c>
      <c r="Q33" t="b">
        <v>0</v>
      </c>
      <c r="R33" t="b">
        <v>0</v>
      </c>
      <c r="S33">
        <f>HYPERLINK("https://www.pv-magazine.com/2021/01/21/pv-magazine-award-the-winners/", "source")</f>
        <v/>
      </c>
      <c r="T33">
        <f>HYPERLINK("https://www.pv-magazine.com/2021/01/21/pv-magazine-award-the-winners/", "source")</f>
        <v/>
      </c>
      <c r="U33">
        <f>HYPERLINK("https://www.pv-magazine.com/2021/01/21/pv-magazine-award-the-winners/", "source")</f>
        <v/>
      </c>
      <c r="V33">
        <f>HYPERLINK("https://www.pv-magazine.com/2019/11/11/energetica-begins-manufacturing-at-gigafactory-in-austria/", "source")</f>
        <v/>
      </c>
      <c r="W33" t="inlineStr"/>
      <c r="X33" t="inlineStr"/>
      <c r="Y33" t="inlineStr">
        <is>
          <t>57d53335-c4f6-522b-9e5b-dcb625db2c71</t>
        </is>
      </c>
    </row>
    <row r="34">
      <c r="A34" t="inlineStr">
        <is>
          <t>energyra</t>
        </is>
      </c>
      <c r="B34" t="inlineStr">
        <is>
          <t>NL</t>
        </is>
      </c>
      <c r="C34" t="inlineStr">
        <is>
          <t>Zaanstad</t>
        </is>
      </c>
      <c r="D34" t="inlineStr">
        <is>
          <t>solar</t>
        </is>
      </c>
      <c r="E34" t="inlineStr">
        <is>
          <t>module</t>
        </is>
      </c>
      <c r="F34" t="n">
        <v>1</v>
      </c>
      <c r="G34" t="inlineStr">
        <is>
          <t>under construction</t>
        </is>
      </c>
      <c r="H34" t="n">
        <v>0.1</v>
      </c>
      <c r="I34" t="n">
        <v>0.1</v>
      </c>
      <c r="J34" t="n">
        <v>21000000</v>
      </c>
      <c r="K34" t="n">
        <v>21000000</v>
      </c>
      <c r="L34" t="b">
        <v>0</v>
      </c>
      <c r="M34" t="inlineStr">
        <is>
          <t>2017-08</t>
        </is>
      </c>
      <c r="N34" t="inlineStr">
        <is>
          <t>2018-04</t>
        </is>
      </c>
      <c r="O34" t="inlineStr">
        <is>
          <t>2021-04</t>
        </is>
      </c>
      <c r="P34" t="b">
        <v>0</v>
      </c>
      <c r="Q34" t="b">
        <v>0</v>
      </c>
      <c r="R34" t="b">
        <v>1</v>
      </c>
      <c r="S34">
        <f>HYPERLINK("https://www.pv-magazine.com/2020/01/23/deal-reached-to-keep-energyra-module-production-in-the-netherlands/", "source")</f>
        <v/>
      </c>
      <c r="T34">
        <f>HYPERLINK("https://www.pv-magazine.com/2020/01/23/deal-reached-to-keep-energyra-module-production-in-the-netherlands/", "source")</f>
        <v/>
      </c>
      <c r="U34">
        <f>HYPERLINK("https://www.pv-magazine.com/2018/04/05/netherlands-energyra-starts-construction-on-100-mw-module-factory/", "source")</f>
        <v/>
      </c>
      <c r="V34">
        <f>HYPERLINK("https://www.pv-magazine.com/2017/08/15/energyra-to-build-solar-module-factory-in-the-netherlands/", "source")</f>
        <v/>
      </c>
      <c r="W34">
        <f>HYPERLINK("https://www.pv-magazine.com/2018/04/05/netherlands-energyra-starts-construction-on-100-mw-module-factory/", "source")</f>
        <v/>
      </c>
      <c r="X34" t="inlineStr"/>
      <c r="Y34" t="inlineStr">
        <is>
          <t>c077b762-8cce-590a-8d3f-3d2e1084d9f7</t>
        </is>
      </c>
    </row>
    <row r="35">
      <c r="A35" t="inlineStr">
        <is>
          <t>envelon</t>
        </is>
      </c>
      <c r="B35" t="inlineStr">
        <is>
          <t>DE</t>
        </is>
      </c>
      <c r="C35" t="inlineStr">
        <is>
          <t>Bavaria</t>
        </is>
      </c>
      <c r="D35" t="inlineStr">
        <is>
          <t>solar</t>
        </is>
      </c>
      <c r="E35" t="inlineStr">
        <is>
          <t>module</t>
        </is>
      </c>
      <c r="F35" t="n">
        <v>1</v>
      </c>
      <c r="G35" t="inlineStr">
        <is>
          <t>operational</t>
        </is>
      </c>
      <c r="H35" t="n">
        <v>0.06</v>
      </c>
      <c r="I35" t="n">
        <v>0.06</v>
      </c>
      <c r="J35" t="n">
        <v>4980000</v>
      </c>
      <c r="K35" t="n">
        <v>4980000</v>
      </c>
      <c r="L35" t="b">
        <v>1</v>
      </c>
      <c r="M35" t="inlineStr">
        <is>
          <t>2019-09</t>
        </is>
      </c>
      <c r="N35" t="inlineStr">
        <is>
          <t>2019-09</t>
        </is>
      </c>
      <c r="O35" t="inlineStr">
        <is>
          <t>2022-09</t>
        </is>
      </c>
      <c r="P35" t="b">
        <v>1</v>
      </c>
      <c r="Q35" t="b">
        <v>1</v>
      </c>
      <c r="R35" t="b">
        <v>0</v>
      </c>
      <c r="S35">
        <f>HYPERLINK("https://www.pv-magazine.com/2022/09/23/envelon-opens-bipv-solar-module-factory-in-germany/", "source")</f>
        <v/>
      </c>
      <c r="T35">
        <f>HYPERLINK("https://www.pv-magazine.com/2022/09/23/envelon-opens-bipv-solar-module-factory-in-germany/", "source")</f>
        <v/>
      </c>
      <c r="U35">
        <f>HYPERLINK("https://www.pv-magazine.com/2022/09/23/envelon-opens-bipv-solar-module-factory-in-germany/", "source")</f>
        <v/>
      </c>
      <c r="V35" t="inlineStr"/>
      <c r="W35" t="inlineStr"/>
      <c r="X35">
        <f>HYPERLINK("https://www.pv-magazine.com/2022/09/23/envelon-opens-bipv-solar-module-factory-in-germany/", "source")</f>
        <v/>
      </c>
      <c r="Y35" t="inlineStr">
        <is>
          <t>ee5d45f5-b237-5b9f-8b75-a8dfa8bb6b5c</t>
        </is>
      </c>
    </row>
    <row r="36">
      <c r="A36" t="inlineStr">
        <is>
          <t>epishine</t>
        </is>
      </c>
      <c r="B36" t="inlineStr">
        <is>
          <t>SE</t>
        </is>
      </c>
      <c r="C36" t="inlineStr">
        <is>
          <t>Linköping Municipality</t>
        </is>
      </c>
      <c r="D36" t="inlineStr">
        <is>
          <t>solar</t>
        </is>
      </c>
      <c r="E36" t="inlineStr">
        <is>
          <t>cell, module</t>
        </is>
      </c>
      <c r="F36" t="n">
        <v>1</v>
      </c>
      <c r="G36" t="inlineStr">
        <is>
          <t>operational</t>
        </is>
      </c>
      <c r="H36" t="n">
        <v>0.01</v>
      </c>
      <c r="I36" t="n">
        <v>0.01</v>
      </c>
      <c r="J36" t="n">
        <v>830000</v>
      </c>
      <c r="K36" t="n">
        <v>830000</v>
      </c>
      <c r="L36" t="b">
        <v>1</v>
      </c>
      <c r="M36" t="inlineStr">
        <is>
          <t>2022-06</t>
        </is>
      </c>
      <c r="N36" t="inlineStr">
        <is>
          <t>2022-06</t>
        </is>
      </c>
      <c r="O36" t="inlineStr">
        <is>
          <t>2023-11</t>
        </is>
      </c>
      <c r="P36" t="b">
        <v>0</v>
      </c>
      <c r="Q36" t="b">
        <v>0</v>
      </c>
      <c r="R36" t="b">
        <v>0</v>
      </c>
      <c r="S36">
        <f>HYPERLINK("https://www.pv-magazine.com/2023/11/17/swedens-epishine-expands-indoor-pv-module-manufacturing-capacity/", "source")</f>
        <v/>
      </c>
      <c r="T36">
        <f>HYPERLINK("https://www.pv-magazine.com/2023/11/17/swedens-epishine-expands-indoor-pv-module-manufacturing-capacity/", "source")</f>
        <v/>
      </c>
      <c r="U36">
        <f>HYPERLINK("https://www.pv-magazine.com/2023/11/17/swedens-epishine-expands-indoor-pv-module-manufacturing-capacity/", "source")</f>
        <v/>
      </c>
      <c r="V36">
        <f>HYPERLINK("https://www.eenewseurope.com/en/epishine-aims-to-be-worlds-largest-solar-cell-maker-with-new-roll-to-roll-production-line/", "source")</f>
        <v/>
      </c>
      <c r="W36">
        <f>HYPERLINK("https://www.eenewseurope.com/en/epishine-aims-to-be-worlds-largest-solar-cell-maker-with-new-roll-to-roll-production-line/", "source")</f>
        <v/>
      </c>
      <c r="X36">
        <f>HYPERLINK("https://www.pv-magazine.com/2023/11/17/swedens-epishine-expands-indoor-pv-module-manufacturing-capacity/", "source")</f>
        <v/>
      </c>
      <c r="Y36" t="inlineStr">
        <is>
          <t>8b675095-4205-5eff-bd6f-a3188d7ef701</t>
        </is>
      </c>
    </row>
    <row r="37">
      <c r="A37" t="inlineStr">
        <is>
          <t>exe solar</t>
        </is>
      </c>
      <c r="B37" t="inlineStr">
        <is>
          <t>BG</t>
        </is>
      </c>
      <c r="C37" t="inlineStr">
        <is>
          <t>Yambol</t>
        </is>
      </c>
      <c r="D37" t="inlineStr">
        <is>
          <t>solar</t>
        </is>
      </c>
      <c r="E37" t="inlineStr">
        <is>
          <t>module</t>
        </is>
      </c>
      <c r="F37" t="n">
        <v>1</v>
      </c>
      <c r="G37" t="inlineStr">
        <is>
          <t>under construction</t>
        </is>
      </c>
      <c r="H37" t="n">
        <v>0.3</v>
      </c>
      <c r="I37" t="n">
        <v>0.3</v>
      </c>
      <c r="J37" t="n">
        <v>6500000</v>
      </c>
      <c r="K37" t="n">
        <v>6500000</v>
      </c>
      <c r="L37" t="b">
        <v>0</v>
      </c>
      <c r="M37" t="inlineStr">
        <is>
          <t>2022-11</t>
        </is>
      </c>
      <c r="N37" t="inlineStr">
        <is>
          <t>2022-11</t>
        </is>
      </c>
      <c r="O37" t="inlineStr">
        <is>
          <t>2025-11</t>
        </is>
      </c>
      <c r="P37" t="b">
        <v>0</v>
      </c>
      <c r="Q37" t="b">
        <v>0</v>
      </c>
      <c r="R37" t="b">
        <v>1</v>
      </c>
      <c r="S37">
        <f>HYPERLINK("https://balkangreenenergynews.com/italian-consortium-to-build-first-solar-panel-factory-in-bulgaria/", "source")</f>
        <v/>
      </c>
      <c r="T37">
        <f>HYPERLINK("https://balkangreenenergynews.com/italian-consortium-to-build-first-solar-panel-factory-in-bulgaria/", "source")</f>
        <v/>
      </c>
      <c r="U37">
        <f>HYPERLINK("https://balkangreenenergynews.com/italian-consortium-to-build-first-solar-panel-factory-in-bulgaria/", "source")</f>
        <v/>
      </c>
      <c r="V37">
        <f>HYPERLINK("https://balkangreenenergynews.com/italian-consortium-to-build-first-solar-panel-factory-in-bulgaria/", "source")</f>
        <v/>
      </c>
      <c r="W37">
        <f>HYPERLINK("https://balkangreenenergynews.com/italian-consortium-to-build-first-solar-panel-factory-in-bulgaria/", "source")</f>
        <v/>
      </c>
      <c r="X37" t="inlineStr"/>
      <c r="Y37" t="inlineStr">
        <is>
          <t>0b742636-b330-52e2-89bf-648861d5948a</t>
        </is>
      </c>
    </row>
    <row r="38">
      <c r="A38" t="inlineStr">
        <is>
          <t>exe solar</t>
        </is>
      </c>
      <c r="B38" t="inlineStr">
        <is>
          <t>BG</t>
        </is>
      </c>
      <c r="C38" t="inlineStr">
        <is>
          <t>Yambol</t>
        </is>
      </c>
      <c r="D38" t="inlineStr">
        <is>
          <t>solar</t>
        </is>
      </c>
      <c r="E38" t="inlineStr">
        <is>
          <t>module</t>
        </is>
      </c>
      <c r="F38" t="n">
        <v>2</v>
      </c>
      <c r="G38" t="inlineStr">
        <is>
          <t>announced</t>
        </is>
      </c>
      <c r="H38" t="n">
        <v>0.3</v>
      </c>
      <c r="I38" t="n">
        <v>0.6</v>
      </c>
      <c r="J38" t="n">
        <v>6500000</v>
      </c>
      <c r="K38" t="n">
        <v>13000000</v>
      </c>
      <c r="L38" t="b">
        <v>1</v>
      </c>
      <c r="M38" t="inlineStr">
        <is>
          <t>2022-11</t>
        </is>
      </c>
      <c r="N38" t="inlineStr"/>
      <c r="O38" t="inlineStr"/>
      <c r="P38" t="b">
        <v>0</v>
      </c>
      <c r="Q38" t="b">
        <v>0</v>
      </c>
      <c r="R38" t="b">
        <v>0</v>
      </c>
      <c r="S38">
        <f>HYPERLINK("https://balkangreenenergynews.com/italian-consortium-to-build-first-solar-panel-factory-in-bulgaria/", "source")</f>
        <v/>
      </c>
      <c r="T38">
        <f>HYPERLINK("https://balkangreenenergynews.com/italian-consortium-to-build-first-solar-panel-factory-in-bulgaria/", "source")</f>
        <v/>
      </c>
      <c r="U38">
        <f>HYPERLINK("https://balkangreenenergynews.com/italian-consortium-to-build-first-solar-panel-factory-in-bulgaria/", "source")</f>
        <v/>
      </c>
      <c r="V38">
        <f>HYPERLINK("https://balkangreenenergynews.com/italian-consortium-to-build-first-solar-panel-factory-in-bulgaria/", "source")</f>
        <v/>
      </c>
      <c r="W38" t="inlineStr"/>
      <c r="X38" t="inlineStr"/>
      <c r="Y38" t="inlineStr">
        <is>
          <t>0b742636-b330-52e2-89bf-648861d5948a</t>
        </is>
      </c>
    </row>
    <row r="39">
      <c r="A39" t="inlineStr">
        <is>
          <t>flisom</t>
        </is>
      </c>
      <c r="B39" t="inlineStr">
        <is>
          <t>CH</t>
        </is>
      </c>
      <c r="C39" t="inlineStr">
        <is>
          <t>Zurich</t>
        </is>
      </c>
      <c r="D39" t="inlineStr">
        <is>
          <t>solar</t>
        </is>
      </c>
      <c r="E39" t="inlineStr">
        <is>
          <t>cell, module</t>
        </is>
      </c>
      <c r="F39" t="n">
        <v>1</v>
      </c>
      <c r="G39" t="inlineStr">
        <is>
          <t>operational</t>
        </is>
      </c>
      <c r="H39" t="n">
        <v>0.015</v>
      </c>
      <c r="I39" t="n">
        <v>0.015</v>
      </c>
      <c r="J39" t="n">
        <v>39026630</v>
      </c>
      <c r="K39" t="n">
        <v>39026630</v>
      </c>
      <c r="L39" t="b">
        <v>0</v>
      </c>
      <c r="M39" t="inlineStr">
        <is>
          <t>2012-11</t>
        </is>
      </c>
      <c r="N39" t="inlineStr">
        <is>
          <t>2012-11</t>
        </is>
      </c>
      <c r="O39" t="inlineStr">
        <is>
          <t>2015-11</t>
        </is>
      </c>
      <c r="P39" t="b">
        <v>1</v>
      </c>
      <c r="Q39" t="b">
        <v>1</v>
      </c>
      <c r="R39" t="b">
        <v>0</v>
      </c>
      <c r="S39">
        <f>HYPERLINK("https://www.pv-magazine.com/2023/04/20/ascent-solar-acquires-swiss-thin-film-solar-module-maker-flisom/", "source")</f>
        <v/>
      </c>
      <c r="T39">
        <f>HYPERLINK("https://www.pv-magazine.com/2023/04/20/ascent-solar-acquires-swiss-thin-film-solar-module-maker-flisom/", "source")</f>
        <v/>
      </c>
      <c r="U39">
        <f>HYPERLINK("https://www.startupticker.ch/en/news/june-2015/swiss-pv-start-up-flisom-inaugurates-pilot-plant#:~:text=pilot%20plant%E2%80%99s%20inauguration%20on%2011%20June", "source")</f>
        <v/>
      </c>
      <c r="V39" t="inlineStr"/>
      <c r="W39" t="inlineStr"/>
      <c r="X39">
        <f>HYPERLINK("https://www.startupticker.ch/en/news/june-2015/swiss-pv-start-up-flisom-inaugurates-pilot-plant#:~:text=pilot%20plant%E2%80%99s%20inauguration%20on%2011%20June", "source")</f>
        <v/>
      </c>
      <c r="Y39" t="inlineStr">
        <is>
          <t>e21f1a12-8e19-5811-9b3e-bffed09b7051</t>
        </is>
      </c>
    </row>
    <row r="40">
      <c r="A40" t="inlineStr">
        <is>
          <t>futurasun</t>
        </is>
      </c>
      <c r="B40" t="inlineStr">
        <is>
          <t>IT</t>
        </is>
      </c>
      <c r="C40" t="inlineStr">
        <is>
          <t>Padova</t>
        </is>
      </c>
      <c r="D40" t="inlineStr">
        <is>
          <t>solar</t>
        </is>
      </c>
      <c r="E40" t="inlineStr">
        <is>
          <t>module</t>
        </is>
      </c>
      <c r="F40" t="n">
        <v>1</v>
      </c>
      <c r="G40" t="inlineStr">
        <is>
          <t>under construction</t>
        </is>
      </c>
      <c r="H40" t="n">
        <v>2</v>
      </c>
      <c r="I40" t="n">
        <v>2</v>
      </c>
      <c r="J40" t="n">
        <v>25000000</v>
      </c>
      <c r="K40" t="n">
        <v>25000000</v>
      </c>
      <c r="L40" t="b">
        <v>0</v>
      </c>
      <c r="M40" t="inlineStr">
        <is>
          <t>2023-03</t>
        </is>
      </c>
      <c r="N40" t="inlineStr">
        <is>
          <t>2023-03</t>
        </is>
      </c>
      <c r="O40" t="inlineStr">
        <is>
          <t>2026-03</t>
        </is>
      </c>
      <c r="P40" t="b">
        <v>0</v>
      </c>
      <c r="Q40" t="b">
        <v>0</v>
      </c>
      <c r="R40" t="b">
        <v>1</v>
      </c>
      <c r="S40">
        <f>HYPERLINK("https://www.pv-magazine.com/category/manufacturing/modules-upstream-manufacturing/page/191/", "source")</f>
        <v/>
      </c>
      <c r="T40">
        <f>HYPERLINK("https://www.pv-magazine.com/category/manufacturing/modules-upstream-manufacturing/page/191/", "source")</f>
        <v/>
      </c>
      <c r="U40">
        <f>HYPERLINK("https://www.pv-tech.org/futurasun-to-build-2gw-pv-module-capacity-in-italy/", "source")</f>
        <v/>
      </c>
      <c r="V40">
        <f>HYPERLINK("https://www.pv-magazine.com/category/manufacturing/modules-upstream-manufacturing/page/191/", "source")</f>
        <v/>
      </c>
      <c r="W40">
        <f>HYPERLINK("https://www.pv-magazine.com/category/manufacturing/modules-upstream-manufacturing/page/191/", "source")</f>
        <v/>
      </c>
      <c r="X40" t="inlineStr"/>
      <c r="Y40" t="inlineStr">
        <is>
          <t>4bca7ecb-2556-5a0b-8829-e04e4c879c73</t>
        </is>
      </c>
    </row>
    <row r="41">
      <c r="A41" t="inlineStr">
        <is>
          <t>giga pv</t>
        </is>
      </c>
      <c r="B41" t="inlineStr">
        <is>
          <t>PL</t>
        </is>
      </c>
      <c r="C41" t="inlineStr">
        <is>
          <t>Racibórz</t>
        </is>
      </c>
      <c r="D41" t="inlineStr">
        <is>
          <t>solar</t>
        </is>
      </c>
      <c r="E41" t="inlineStr">
        <is>
          <t>cell</t>
        </is>
      </c>
      <c r="F41" t="n">
        <v>1</v>
      </c>
      <c r="G41" t="inlineStr">
        <is>
          <t>announced</t>
        </is>
      </c>
      <c r="H41" t="n">
        <v>1</v>
      </c>
      <c r="I41" t="n">
        <v>1</v>
      </c>
      <c r="J41" t="n">
        <v>90000000</v>
      </c>
      <c r="K41" t="n">
        <v>90000000</v>
      </c>
      <c r="L41" t="b">
        <v>0</v>
      </c>
      <c r="M41" t="inlineStr">
        <is>
          <t>2021-01</t>
        </is>
      </c>
      <c r="N41" t="inlineStr"/>
      <c r="O41" t="inlineStr"/>
      <c r="P41" t="b">
        <v>0</v>
      </c>
      <c r="Q41" t="b">
        <v>0</v>
      </c>
      <c r="R41" t="b">
        <v>0</v>
      </c>
      <c r="S41">
        <f>HYPERLINK("https://www.wnp.pl/energia/energetyka/w-polsce-powstanie-fabryka-jakiej-nie-ma-nikt-inny-w-europie,683405.html", "source")</f>
        <v/>
      </c>
      <c r="T41">
        <f>HYPERLINK("https://www.wnp.pl/energia/energetyka/w-polsce-powstanie-fabryka-jakiej-nie-ma-nikt-inny-w-europie,683405.html", "source")</f>
        <v/>
      </c>
      <c r="U41">
        <f>HYPERLINK("https://www.wnp.pl/energia/energetyka/w-polsce-powstanie-fabryka-jakiej-nie-ma-nikt-inny-w-europie,683405.html", "source")</f>
        <v/>
      </c>
      <c r="V41">
        <f>HYPERLINK("https://www.gramwzielone.pl/energia-sloneczna/104633/polska-gigafabryka-ogniw-fotowoltaicznych-ruszy-za-3-lata-wybrano-technologie", "source")</f>
        <v/>
      </c>
      <c r="W41" t="inlineStr"/>
      <c r="X41" t="inlineStr"/>
      <c r="Y41" t="inlineStr">
        <is>
          <t>a9604bcf-47d7-5a8c-8783-e0ec54191880</t>
        </is>
      </c>
    </row>
    <row r="42">
      <c r="A42" t="inlineStr">
        <is>
          <t>greenland gigafactory</t>
        </is>
      </c>
      <c r="B42" t="inlineStr">
        <is>
          <t>ES</t>
        </is>
      </c>
      <c r="C42" t="inlineStr">
        <is>
          <t>Seville</t>
        </is>
      </c>
      <c r="D42" t="inlineStr">
        <is>
          <t>solar</t>
        </is>
      </c>
      <c r="E42" t="inlineStr">
        <is>
          <t>cell, ingot_wafer, module</t>
        </is>
      </c>
      <c r="F42" t="n">
        <v>1</v>
      </c>
      <c r="G42" t="inlineStr">
        <is>
          <t>announced</t>
        </is>
      </c>
      <c r="H42" t="n">
        <v>5</v>
      </c>
      <c r="I42" t="n">
        <v>5</v>
      </c>
      <c r="J42" t="n">
        <v>415000000</v>
      </c>
      <c r="K42" t="n">
        <v>415000000</v>
      </c>
      <c r="L42" t="b">
        <v>1</v>
      </c>
      <c r="M42" t="inlineStr">
        <is>
          <t>2021-04</t>
        </is>
      </c>
      <c r="N42" t="inlineStr"/>
      <c r="O42" t="inlineStr"/>
      <c r="P42" t="b">
        <v>0</v>
      </c>
      <c r="Q42" t="b">
        <v>0</v>
      </c>
      <c r="R42" t="b">
        <v>0</v>
      </c>
      <c r="S42">
        <f>HYPERLINK("https://www.pv-magazine.com/2021/05/06/new-details-emerge-on-spanish-5-gw-solar-panel-factory/", "source")</f>
        <v/>
      </c>
      <c r="T42">
        <f>HYPERLINK("https://www.pv-magazine.com/2021/05/06/new-details-emerge-on-spanish-5-gw-solar-panel-factory/", "source")</f>
        <v/>
      </c>
      <c r="U42">
        <f>HYPERLINK("https://www.pv-magazine.com/2021/05/06/new-details-emerge-on-spanish-5-gw-solar-panel-factory/", "source")</f>
        <v/>
      </c>
      <c r="V42">
        <f>HYPERLINK("https://taiyangnews.info/business/5-gw-vertically-integrated-pv-production-plans-for-spain#:~:text=The%20institute%20said%20it%20is,help%20achieve%20low%20production%20costs.", "source")</f>
        <v/>
      </c>
      <c r="W42" t="inlineStr"/>
      <c r="X42" t="inlineStr"/>
      <c r="Y42" t="inlineStr">
        <is>
          <t>0c61e7a8-57e8-5bf9-ad36-7d6aa5f3528d</t>
        </is>
      </c>
    </row>
    <row r="43">
      <c r="A43" t="inlineStr">
        <is>
          <t>heckert solar</t>
        </is>
      </c>
      <c r="B43" t="inlineStr">
        <is>
          <t>DE</t>
        </is>
      </c>
      <c r="C43" t="inlineStr">
        <is>
          <t>Chemnitz</t>
        </is>
      </c>
      <c r="D43" t="inlineStr">
        <is>
          <t>solar</t>
        </is>
      </c>
      <c r="E43" t="inlineStr">
        <is>
          <t>module</t>
        </is>
      </c>
      <c r="F43" t="n">
        <v>1</v>
      </c>
      <c r="G43" t="inlineStr">
        <is>
          <t>operational</t>
        </is>
      </c>
      <c r="H43" t="n">
        <v>0.18</v>
      </c>
      <c r="I43" t="n">
        <v>0.18</v>
      </c>
      <c r="J43" t="n">
        <v>14940000</v>
      </c>
      <c r="K43" t="n">
        <v>14940000</v>
      </c>
      <c r="L43" t="b">
        <v>1</v>
      </c>
      <c r="M43" t="inlineStr">
        <is>
          <t>2014-11</t>
        </is>
      </c>
      <c r="N43" t="inlineStr">
        <is>
          <t>2014-11</t>
        </is>
      </c>
      <c r="O43" t="inlineStr">
        <is>
          <t>2014-11</t>
        </is>
      </c>
      <c r="P43" t="b">
        <v>0</v>
      </c>
      <c r="Q43" t="b">
        <v>0</v>
      </c>
      <c r="R43" t="b">
        <v>0</v>
      </c>
      <c r="S43">
        <f>HYPERLINK("https://renewablesnow.com/news/heckert-solar-to-hike-made-in-germany-module-production-to-240-mwp-451385/", "source")</f>
        <v/>
      </c>
      <c r="T43">
        <f>HYPERLINK("https://renewablesnow.com/news/heckert-solar-to-hike-made-in-germany-module-production-to-240-mwp-451385/", "source")</f>
        <v/>
      </c>
      <c r="U43">
        <f>HYPERLINK("https://renewablesnow.com/news/heckert-solar-to-hike-made-in-germany-module-production-to-240-mwp-451385/", "source")</f>
        <v/>
      </c>
      <c r="V43">
        <f>HYPERLINK("https://renewablesnow.com/news/heckert-solar-to-hike-made-in-germany-module-production-to-240-mwp-451385/", "source")</f>
        <v/>
      </c>
      <c r="W43">
        <f>HYPERLINK("https://renewablesnow.com/news/heckert-solar-to-hike-made-in-germany-module-production-to-240-mwp-451385/", "source")</f>
        <v/>
      </c>
      <c r="X43">
        <f>HYPERLINK("https://renewablesnow.com/news/heckert-solar-to-hike-made-in-germany-module-production-to-240-mwp-451385/", "source")</f>
        <v/>
      </c>
      <c r="Y43" t="inlineStr">
        <is>
          <t>84a81cad-df66-5510-ad33-7f5d4eefa67b</t>
        </is>
      </c>
    </row>
    <row r="44">
      <c r="A44" t="inlineStr">
        <is>
          <t>heckert solar</t>
        </is>
      </c>
      <c r="B44" t="inlineStr">
        <is>
          <t>DE</t>
        </is>
      </c>
      <c r="C44" t="inlineStr">
        <is>
          <t>Chemnitz</t>
        </is>
      </c>
      <c r="D44" t="inlineStr">
        <is>
          <t>solar</t>
        </is>
      </c>
      <c r="E44" t="inlineStr">
        <is>
          <t>module</t>
        </is>
      </c>
      <c r="F44" t="n">
        <v>2</v>
      </c>
      <c r="G44" t="inlineStr">
        <is>
          <t>operational</t>
        </is>
      </c>
      <c r="H44" t="n">
        <v>0.12</v>
      </c>
      <c r="I44" t="n">
        <v>0.3</v>
      </c>
      <c r="J44" t="n">
        <v>9960000</v>
      </c>
      <c r="K44" t="n">
        <v>24900000</v>
      </c>
      <c r="L44" t="b">
        <v>1</v>
      </c>
      <c r="M44" t="inlineStr">
        <is>
          <t>2018-06</t>
        </is>
      </c>
      <c r="N44" t="inlineStr">
        <is>
          <t>2018-06</t>
        </is>
      </c>
      <c r="O44" t="inlineStr">
        <is>
          <t>2021-06</t>
        </is>
      </c>
      <c r="P44" t="b">
        <v>1</v>
      </c>
      <c r="Q44" t="b">
        <v>1</v>
      </c>
      <c r="R44" t="b">
        <v>0</v>
      </c>
      <c r="S44">
        <f>HYPERLINK("https://www.pveurope.eu/solar-modules/heckert-solar-high-quality-solar-panels-markets-europe", "source")</f>
        <v/>
      </c>
      <c r="T44">
        <f>HYPERLINK("https://www.pveurope.eu/solar-modules/heckert-solar-high-quality-solar-panels-markets-europe", "source")</f>
        <v/>
      </c>
      <c r="U44">
        <f>HYPERLINK("https://www.pveurope.eu/solar-modules/heckert-solar-high-quality-solar-panels-markets-europe", "source")</f>
        <v/>
      </c>
      <c r="V44" t="inlineStr"/>
      <c r="W44" t="inlineStr"/>
      <c r="X44">
        <f>HYPERLINK("https://www.pveurope.eu/solar-modules/heckert-solar-high-quality-solar-panels-markets-europe", "source")</f>
        <v/>
      </c>
      <c r="Y44" t="inlineStr">
        <is>
          <t>84a81cad-df66-5510-ad33-7f5d4eefa67b</t>
        </is>
      </c>
    </row>
    <row r="45">
      <c r="A45" t="inlineStr">
        <is>
          <t>heckert solar</t>
        </is>
      </c>
      <c r="B45" t="inlineStr">
        <is>
          <t>DE</t>
        </is>
      </c>
      <c r="C45" t="inlineStr">
        <is>
          <t>Chemnitz</t>
        </is>
      </c>
      <c r="D45" t="inlineStr">
        <is>
          <t>solar</t>
        </is>
      </c>
      <c r="E45" t="inlineStr">
        <is>
          <t>module</t>
        </is>
      </c>
      <c r="F45" t="n">
        <v>3</v>
      </c>
      <c r="G45" t="inlineStr">
        <is>
          <t>operational</t>
        </is>
      </c>
      <c r="H45" t="n">
        <v>0.1</v>
      </c>
      <c r="I45" t="n">
        <v>0.4</v>
      </c>
      <c r="J45" t="n">
        <v>8300000.000000003</v>
      </c>
      <c r="K45" t="n">
        <v>33200000</v>
      </c>
      <c r="L45" t="b">
        <v>1</v>
      </c>
      <c r="M45" t="inlineStr">
        <is>
          <t>2018-09</t>
        </is>
      </c>
      <c r="N45" t="inlineStr">
        <is>
          <t>2018-09</t>
        </is>
      </c>
      <c r="O45" t="inlineStr">
        <is>
          <t>2021-09</t>
        </is>
      </c>
      <c r="P45" t="b">
        <v>1</v>
      </c>
      <c r="Q45" t="b">
        <v>1</v>
      </c>
      <c r="R45" t="b">
        <v>0</v>
      </c>
      <c r="S45">
        <f>HYPERLINK("https://www.pv-magazine.com/2021/09/30/heckert-solar-inaugurates-400-mw-solar-panel-factory-in-germany/", "source")</f>
        <v/>
      </c>
      <c r="T45">
        <f>HYPERLINK("https://www.pv-magazine.com/2021/09/30/heckert-solar-inaugurates-400-mw-solar-panel-factory-in-germany/", "source")</f>
        <v/>
      </c>
      <c r="U45">
        <f>HYPERLINK("https://www.pv-magazine.com/2021/09/30/heckert-solar-inaugurates-400-mw-solar-panel-factory-in-germany/", "source")</f>
        <v/>
      </c>
      <c r="V45" t="inlineStr"/>
      <c r="W45" t="inlineStr"/>
      <c r="X45">
        <f>HYPERLINK("https://www.pv-magazine.com/2021/09/30/heckert-solar-inaugurates-400-mw-solar-panel-factory-in-germany/", "source")</f>
        <v/>
      </c>
      <c r="Y45" t="inlineStr">
        <is>
          <t>84a81cad-df66-5510-ad33-7f5d4eefa67b</t>
        </is>
      </c>
    </row>
    <row r="46">
      <c r="A46" t="inlineStr">
        <is>
          <t>heckert solar</t>
        </is>
      </c>
      <c r="B46" t="inlineStr">
        <is>
          <t>DE</t>
        </is>
      </c>
      <c r="C46" t="inlineStr">
        <is>
          <t>Langenwetzendorf</t>
        </is>
      </c>
      <c r="D46" t="inlineStr">
        <is>
          <t>solar</t>
        </is>
      </c>
      <c r="E46" t="inlineStr">
        <is>
          <t>module</t>
        </is>
      </c>
      <c r="F46" t="n">
        <v>1</v>
      </c>
      <c r="G46" t="inlineStr">
        <is>
          <t>operational</t>
        </is>
      </c>
      <c r="H46" t="n">
        <v>0.4</v>
      </c>
      <c r="I46" t="n">
        <v>0.4</v>
      </c>
      <c r="J46" t="n">
        <v>21000000</v>
      </c>
      <c r="K46" t="n">
        <v>21000000</v>
      </c>
      <c r="L46" t="b">
        <v>0</v>
      </c>
      <c r="M46" t="inlineStr">
        <is>
          <t>2018-09</t>
        </is>
      </c>
      <c r="N46" t="inlineStr">
        <is>
          <t>2018-09</t>
        </is>
      </c>
      <c r="O46" t="inlineStr">
        <is>
          <t>2021-09</t>
        </is>
      </c>
      <c r="P46" t="b">
        <v>1</v>
      </c>
      <c r="Q46" t="b">
        <v>1</v>
      </c>
      <c r="R46" t="b">
        <v>0</v>
      </c>
      <c r="S46">
        <f>HYPERLINK("https://www.pv-magazine.com/2023/11/22/fraunofer-ise-heckert-solar-present-made-in-germany-rooftop-solar-panel/", "source")</f>
        <v/>
      </c>
      <c r="T46">
        <f>HYPERLINK("https://www.pv-magazine.com/2023/11/22/fraunofer-ise-heckert-solar-present-made-in-germany-rooftop-solar-panel/", "source")</f>
        <v/>
      </c>
      <c r="U46">
        <f>HYPERLINK("https://www.pv-magazine.com/2021/09/30/heckert-solar-inaugurates-400-mw-solar-panel-factory-in-germany/", "source")</f>
        <v/>
      </c>
      <c r="V46" t="inlineStr"/>
      <c r="W46" t="inlineStr"/>
      <c r="X46">
        <f>HYPERLINK("https://www.pv-magazine.com/2021/09/30/heckert-solar-inaugurates-400-mw-solar-panel-factory-in-germany/", "source")</f>
        <v/>
      </c>
      <c r="Y46" t="inlineStr">
        <is>
          <t>e34bdda6-e613-54c5-81df-2c916fb70791</t>
        </is>
      </c>
    </row>
    <row r="47">
      <c r="A47" t="inlineStr">
        <is>
          <t>heckert solar</t>
        </is>
      </c>
      <c r="B47" t="inlineStr">
        <is>
          <t>DE</t>
        </is>
      </c>
      <c r="C47" t="inlineStr">
        <is>
          <t>Langenwetzendorf</t>
        </is>
      </c>
      <c r="D47" t="inlineStr">
        <is>
          <t>solar</t>
        </is>
      </c>
      <c r="E47" t="inlineStr">
        <is>
          <t>module</t>
        </is>
      </c>
      <c r="F47" t="n">
        <v>2</v>
      </c>
      <c r="G47" t="inlineStr">
        <is>
          <t>announced</t>
        </is>
      </c>
      <c r="H47" t="n">
        <v>2.4</v>
      </c>
      <c r="I47" t="n">
        <v>2.8</v>
      </c>
      <c r="J47" t="n">
        <v>126000000</v>
      </c>
      <c r="K47" t="n">
        <v>147000000</v>
      </c>
      <c r="L47" t="b">
        <v>1</v>
      </c>
      <c r="M47" t="inlineStr">
        <is>
          <t>2023-08</t>
        </is>
      </c>
      <c r="N47" t="inlineStr"/>
      <c r="O47" t="inlineStr"/>
      <c r="P47" t="b">
        <v>0</v>
      </c>
      <c r="Q47" t="b">
        <v>0</v>
      </c>
      <c r="R47" t="b">
        <v>0</v>
      </c>
      <c r="S47">
        <f>HYPERLINK("https://www.pv-magazine.com/2023/08/21/german-consortium-plans-5-gw-vertically-integrated-solar-module-production/", "source")</f>
        <v/>
      </c>
      <c r="T47">
        <f>HYPERLINK("https://www.pv-magazine.com/2023/08/21/german-consortium-plans-5-gw-vertically-integrated-solar-module-production/", "source")</f>
        <v/>
      </c>
      <c r="U47">
        <f>HYPERLINK("https://www.pv-magazine.com/2023/08/21/german-consortium-plans-5-gw-vertically-integrated-solar-module-production/", "source")</f>
        <v/>
      </c>
      <c r="V47">
        <f>HYPERLINK("https://www.pv-magazine.com/2023/08/21/german-consortium-plans-5-gw-vertically-integrated-solar-module-production/", "source")</f>
        <v/>
      </c>
      <c r="W47" t="inlineStr"/>
      <c r="X47" t="inlineStr"/>
      <c r="Y47" t="inlineStr">
        <is>
          <t>e34bdda6-e613-54c5-81df-2c916fb70791</t>
        </is>
      </c>
    </row>
    <row r="48">
      <c r="A48" t="inlineStr">
        <is>
          <t>heliup</t>
        </is>
      </c>
      <c r="B48" t="inlineStr">
        <is>
          <t>FR</t>
        </is>
      </c>
      <c r="C48" t="inlineStr">
        <is>
          <t>Le Cheylas</t>
        </is>
      </c>
      <c r="D48" t="inlineStr">
        <is>
          <t>solar</t>
        </is>
      </c>
      <c r="E48" t="inlineStr">
        <is>
          <t>module</t>
        </is>
      </c>
      <c r="F48" t="n">
        <v>1</v>
      </c>
      <c r="G48" t="inlineStr">
        <is>
          <t>operational</t>
        </is>
      </c>
      <c r="H48" t="n">
        <v>0.1</v>
      </c>
      <c r="I48" t="n">
        <v>0.1</v>
      </c>
      <c r="J48" t="n">
        <v>10000000</v>
      </c>
      <c r="K48" t="n">
        <v>10000000</v>
      </c>
      <c r="L48" t="b">
        <v>0</v>
      </c>
      <c r="M48" t="inlineStr">
        <is>
          <t>2022-05</t>
        </is>
      </c>
      <c r="N48" t="inlineStr">
        <is>
          <t>2022-05</t>
        </is>
      </c>
      <c r="O48" t="inlineStr">
        <is>
          <t>2025-05</t>
        </is>
      </c>
      <c r="P48" t="b">
        <v>1</v>
      </c>
      <c r="Q48" t="b">
        <v>1</v>
      </c>
      <c r="R48" t="b">
        <v>0</v>
      </c>
      <c r="S48">
        <f>HYPERLINK("https://www.world-energy.org/article/52293.html", "source")</f>
        <v/>
      </c>
      <c r="T48">
        <f>HYPERLINK("https://www.world-energy.org/article/52293.html", "source")</f>
        <v/>
      </c>
      <c r="U48">
        <f>HYPERLINK("https://www.pv-magazine.com/2025/05/28/heliup-switches-on-100-mw-lightweight-solar-panel-factory-in-france/", "source")</f>
        <v/>
      </c>
      <c r="V48" t="inlineStr"/>
      <c r="W48" t="inlineStr"/>
      <c r="X48">
        <f>HYPERLINK("https://www.world-energy.org/article/52293.html", "source")</f>
        <v/>
      </c>
      <c r="Y48" t="inlineStr">
        <is>
          <t>6fb6c1d3-f6ee-5e5e-928e-b065529ce802</t>
        </is>
      </c>
    </row>
    <row r="49">
      <c r="A49" t="inlineStr">
        <is>
          <t>holosolis</t>
        </is>
      </c>
      <c r="B49" t="inlineStr">
        <is>
          <t>FR</t>
        </is>
      </c>
      <c r="C49" t="inlineStr">
        <is>
          <t>Hambach</t>
        </is>
      </c>
      <c r="D49" t="inlineStr">
        <is>
          <t>solar</t>
        </is>
      </c>
      <c r="E49" t="inlineStr">
        <is>
          <t>cell, module</t>
        </is>
      </c>
      <c r="F49" t="n">
        <v>1</v>
      </c>
      <c r="G49" t="inlineStr">
        <is>
          <t>announced</t>
        </is>
      </c>
      <c r="H49" t="n">
        <v>5</v>
      </c>
      <c r="I49" t="n">
        <v>5</v>
      </c>
      <c r="J49" t="n">
        <v>710000000</v>
      </c>
      <c r="K49" t="n">
        <v>710000000</v>
      </c>
      <c r="L49" t="b">
        <v>0</v>
      </c>
      <c r="M49" t="inlineStr">
        <is>
          <t>2023-05</t>
        </is>
      </c>
      <c r="N49" t="inlineStr"/>
      <c r="O49" t="inlineStr"/>
      <c r="P49" t="b">
        <v>0</v>
      </c>
      <c r="Q49" t="b">
        <v>0</v>
      </c>
      <c r="R49" t="b">
        <v>0</v>
      </c>
      <c r="S49">
        <f>HYPERLINK("https://www.pv-magazine.com/2025/09/16/french-city-favors-domestic-modules-in-6-8-mw-solar-carport-tender/", "source")</f>
        <v/>
      </c>
      <c r="T49">
        <f>HYPERLINK("https://www.pv-magazine.com/2025/09/16/french-city-favors-domestic-modules-in-6-8-mw-solar-carport-tender/", "source")</f>
        <v/>
      </c>
      <c r="U49">
        <f>HYPERLINK("https://www.pv-magazine.com/2023/05/15/french-startup-plans-5-gw-cell-solar-module-factory/", "source")</f>
        <v/>
      </c>
      <c r="V49">
        <f>HYPERLINK("https://www.pv-magazine.com/2023/05/15/french-startup-plans-5-gw-cell-solar-module-factory/", "source")</f>
        <v/>
      </c>
      <c r="W49" t="inlineStr"/>
      <c r="X49" t="inlineStr"/>
      <c r="Y49" t="inlineStr">
        <is>
          <t>bda557bd-c341-5279-996a-bfb4a5e1ffb4</t>
        </is>
      </c>
    </row>
    <row r="50">
      <c r="A50" t="inlineStr">
        <is>
          <t>huasun new time</t>
        </is>
      </c>
      <c r="B50" t="inlineStr">
        <is>
          <t>IT</t>
        </is>
      </c>
      <c r="C50" t="inlineStr">
        <is>
          <t>Emilia-Romagna</t>
        </is>
      </c>
      <c r="D50" t="inlineStr">
        <is>
          <t>solar</t>
        </is>
      </c>
      <c r="E50" t="inlineStr">
        <is>
          <t>cell, module</t>
        </is>
      </c>
      <c r="F50" t="n">
        <v>1</v>
      </c>
      <c r="G50" t="inlineStr">
        <is>
          <t>announced</t>
        </is>
      </c>
      <c r="H50" t="n">
        <v>1</v>
      </c>
      <c r="I50" t="n">
        <v>1</v>
      </c>
      <c r="J50" t="n">
        <v>83000000</v>
      </c>
      <c r="K50" t="n">
        <v>83000000</v>
      </c>
      <c r="L50" t="b">
        <v>1</v>
      </c>
      <c r="M50" t="inlineStr">
        <is>
          <t>2025-08</t>
        </is>
      </c>
      <c r="N50" t="inlineStr"/>
      <c r="O50" t="inlineStr"/>
      <c r="P50" t="b">
        <v>0</v>
      </c>
      <c r="Q50" t="b">
        <v>0</v>
      </c>
      <c r="R50" t="b">
        <v>0</v>
      </c>
      <c r="S50">
        <f>HYPERLINK("https://www.pv-magazine.com/2025/08/19/italy-backs-1-gw-tandem-solar-line-with-huasun-new-time-by-2026/", "source")</f>
        <v/>
      </c>
      <c r="T50">
        <f>HYPERLINK("https://www.pv-magazine.com/2025/08/19/italy-backs-1-gw-tandem-solar-line-with-huasun-new-time-by-2026/", "source")</f>
        <v/>
      </c>
      <c r="U50">
        <f>HYPERLINK("https://solarvision.org/huasun-and-new-time-team-up-for-solar-innovation/", "source")</f>
        <v/>
      </c>
      <c r="V50">
        <f>HYPERLINK("https://www.pv-magazine.com/2025/08/19/italy-backs-1-gw-tandem-solar-line-with-huasun-new-time-by-2026/", "source")</f>
        <v/>
      </c>
      <c r="W50" t="inlineStr"/>
      <c r="X50" t="inlineStr"/>
      <c r="Y50" t="inlineStr">
        <is>
          <t>a34216b4-b49d-5bd1-9559-c456d26ab876</t>
        </is>
      </c>
    </row>
    <row r="51">
      <c r="A51" t="inlineStr">
        <is>
          <t>hyet solar</t>
        </is>
      </c>
      <c r="B51" t="inlineStr">
        <is>
          <t>NL</t>
        </is>
      </c>
      <c r="C51" t="inlineStr">
        <is>
          <t>Arnhem Municipality</t>
        </is>
      </c>
      <c r="D51" t="inlineStr">
        <is>
          <t>solar</t>
        </is>
      </c>
      <c r="E51" t="inlineStr">
        <is>
          <t>module</t>
        </is>
      </c>
      <c r="F51" t="n">
        <v>1</v>
      </c>
      <c r="G51" t="inlineStr">
        <is>
          <t>cancelled</t>
        </is>
      </c>
      <c r="H51" t="n">
        <v>0.04</v>
      </c>
      <c r="I51" t="n">
        <v>0.04</v>
      </c>
      <c r="J51" t="n">
        <v>60000000</v>
      </c>
      <c r="K51" t="n">
        <v>60000000</v>
      </c>
      <c r="L51" t="b">
        <v>0</v>
      </c>
      <c r="M51" t="inlineStr">
        <is>
          <t>2023-09</t>
        </is>
      </c>
      <c r="N51" t="inlineStr">
        <is>
          <t>2023-09</t>
        </is>
      </c>
      <c r="O51" t="inlineStr">
        <is>
          <t>2026-09</t>
        </is>
      </c>
      <c r="P51" t="b">
        <v>0</v>
      </c>
      <c r="Q51" t="b">
        <v>0</v>
      </c>
      <c r="R51" t="b">
        <v>1</v>
      </c>
      <c r="S51">
        <f>HYPERLINK("https://solarmagazine.nl/nieuws-zonne-energie/i40296/arnhems-zonnefoliebedrijf-hyet-solar-failliet-plan-voor-doorstart", "source")</f>
        <v/>
      </c>
      <c r="T51">
        <f>HYPERLINK("https://www.pv-magazine.com/2023/09/21/hyet-solar-raises-capital-for-building-solar-factory-in-netherlands/", "source")</f>
        <v/>
      </c>
      <c r="U51">
        <f>HYPERLINK("https://www.solar365.nl/nieuws/hyet-solaris-gaat-nieuwe-zonnefolie-fabriek-in-nederland-opzetten-66ADB5AC.html", "source")</f>
        <v/>
      </c>
      <c r="V51">
        <f>HYPERLINK("https://www.pv-magazine.com/2023/09/21/hyet-solar-raises-capital-for-building-solar-factory-in-netherlands/", "source")</f>
        <v/>
      </c>
      <c r="W51">
        <f>HYPERLINK("https://www.pv-magazine.com/2023/09/21/hyet-solar-raises-capital-for-building-solar-factory-in-netherlands/", "source")</f>
        <v/>
      </c>
      <c r="X51" t="inlineStr"/>
      <c r="Y51" t="inlineStr">
        <is>
          <t>9d50d076-a30a-5b35-85a2-0a62f713350f</t>
        </is>
      </c>
    </row>
    <row r="52">
      <c r="A52" t="inlineStr">
        <is>
          <t>hyet solar</t>
        </is>
      </c>
      <c r="B52" t="inlineStr">
        <is>
          <t>NL</t>
        </is>
      </c>
      <c r="C52" t="inlineStr">
        <is>
          <t>Arnhem Municipality</t>
        </is>
      </c>
      <c r="D52" t="inlineStr">
        <is>
          <t>solar</t>
        </is>
      </c>
      <c r="E52" t="inlineStr">
        <is>
          <t>module</t>
        </is>
      </c>
      <c r="F52" t="n">
        <v>2</v>
      </c>
      <c r="G52" t="inlineStr">
        <is>
          <t>announced</t>
        </is>
      </c>
      <c r="H52" t="n">
        <v>0.26</v>
      </c>
      <c r="I52" t="n">
        <v>0.3</v>
      </c>
      <c r="J52" t="n">
        <v>390000000</v>
      </c>
      <c r="K52" t="n">
        <v>450000000</v>
      </c>
      <c r="L52" t="b">
        <v>1</v>
      </c>
      <c r="M52" t="inlineStr">
        <is>
          <t>2023-09</t>
        </is>
      </c>
      <c r="N52" t="inlineStr"/>
      <c r="O52" t="inlineStr"/>
      <c r="P52" t="b">
        <v>0</v>
      </c>
      <c r="Q52" t="b">
        <v>0</v>
      </c>
      <c r="R52" t="b">
        <v>0</v>
      </c>
      <c r="S52">
        <f>HYPERLINK("https://www.pv-magazine.com/2023/09/21/hyet-solar-raises-capital-for-building-solar-factory-in-netherlands/", "source")</f>
        <v/>
      </c>
      <c r="T52">
        <f>HYPERLINK("https://www.pv-magazine.com/2023/09/21/hyet-solar-raises-capital-for-building-solar-factory-in-netherlands/", "source")</f>
        <v/>
      </c>
      <c r="U52">
        <f>HYPERLINK("https://www.pv-magazine.com/2023/09/21/hyet-solar-raises-capital-for-building-solar-factory-in-netherlands/", "source")</f>
        <v/>
      </c>
      <c r="V52">
        <f>HYPERLINK("https://www.pv-magazine.com/2023/09/21/hyet-solar-raises-capital-for-building-solar-factory-in-netherlands/", "source")</f>
        <v/>
      </c>
      <c r="W52" t="inlineStr"/>
      <c r="X52" t="inlineStr"/>
      <c r="Y52" t="inlineStr">
        <is>
          <t>9d50d076-a30a-5b35-85a2-0a62f713350f</t>
        </is>
      </c>
    </row>
    <row r="53">
      <c r="A53" t="inlineStr">
        <is>
          <t>iberdrola</t>
        </is>
      </c>
      <c r="B53" t="inlineStr">
        <is>
          <t>ES</t>
        </is>
      </c>
      <c r="C53" t="inlineStr">
        <is>
          <t>Extremadura</t>
        </is>
      </c>
      <c r="D53" t="inlineStr">
        <is>
          <t>solar</t>
        </is>
      </c>
      <c r="E53" t="inlineStr">
        <is>
          <t>module</t>
        </is>
      </c>
      <c r="F53" t="n">
        <v>1</v>
      </c>
      <c r="G53" t="inlineStr">
        <is>
          <t>announced</t>
        </is>
      </c>
      <c r="H53" t="n">
        <v>1.6</v>
      </c>
      <c r="I53" t="n">
        <v>1.6</v>
      </c>
      <c r="J53" t="n">
        <v>132800000</v>
      </c>
      <c r="K53" t="n">
        <v>132800000</v>
      </c>
      <c r="L53" t="b">
        <v>1</v>
      </c>
      <c r="M53" t="inlineStr">
        <is>
          <t>2023-04</t>
        </is>
      </c>
      <c r="N53" t="inlineStr"/>
      <c r="O53" t="inlineStr"/>
      <c r="P53" t="b">
        <v>0</v>
      </c>
      <c r="Q53" t="b">
        <v>0</v>
      </c>
      <c r="R53" t="b">
        <v>0</v>
      </c>
      <c r="S53">
        <f>HYPERLINK("https://www.pv-magazine.com/2023/04/11/iberdrola-plans-to-open-1-6-gw-pv-module-factory-in-spain/", "source")</f>
        <v/>
      </c>
      <c r="T53">
        <f>HYPERLINK("https://www.pv-magazine.com/2023/04/11/iberdrola-plans-to-open-1-6-gw-pv-module-factory-in-spain/", "source")</f>
        <v/>
      </c>
      <c r="U53">
        <f>HYPERLINK("https://www.pv-magazine.com/2023/04/11/iberdrola-plans-to-open-1-6-gw-pv-module-factory-in-spain/", "source")</f>
        <v/>
      </c>
      <c r="V53">
        <f>HYPERLINK("https://www.pv-magazine.com/2023/04/11/iberdrola-plans-to-open-1-6-gw-pv-module-factory-in-spain/", "source")</f>
        <v/>
      </c>
      <c r="W53" t="inlineStr"/>
      <c r="X53" t="inlineStr"/>
      <c r="Y53" t="inlineStr">
        <is>
          <t>5403e59f-51f4-50e3-9a8e-cff20ec007c7</t>
        </is>
      </c>
    </row>
    <row r="54">
      <c r="A54" t="inlineStr">
        <is>
          <t>iberdrola exiom</t>
        </is>
      </c>
      <c r="B54" t="inlineStr">
        <is>
          <t>ES</t>
        </is>
      </c>
      <c r="C54" t="inlineStr">
        <is>
          <t>Langreo Municipality</t>
        </is>
      </c>
      <c r="D54" t="inlineStr">
        <is>
          <t>solar</t>
        </is>
      </c>
      <c r="E54" t="inlineStr">
        <is>
          <t>module</t>
        </is>
      </c>
      <c r="F54" t="n">
        <v>1</v>
      </c>
      <c r="G54" t="inlineStr">
        <is>
          <t>under construction</t>
        </is>
      </c>
      <c r="H54" t="n">
        <v>0.5</v>
      </c>
      <c r="I54" t="n">
        <v>0.5</v>
      </c>
      <c r="J54" t="n">
        <v>20000000</v>
      </c>
      <c r="K54" t="n">
        <v>20000000</v>
      </c>
      <c r="L54" t="b">
        <v>0</v>
      </c>
      <c r="M54" t="inlineStr">
        <is>
          <t>2023-02</t>
        </is>
      </c>
      <c r="N54" t="inlineStr">
        <is>
          <t>2023-10</t>
        </is>
      </c>
      <c r="O54" t="inlineStr">
        <is>
          <t>2026-10</t>
        </is>
      </c>
      <c r="P54" t="b">
        <v>0</v>
      </c>
      <c r="Q54" t="b">
        <v>0</v>
      </c>
      <c r="R54" t="b">
        <v>1</v>
      </c>
      <c r="S54">
        <f>HYPERLINK("https://www.iberdrola.com/press-room/news/detail/iberdrola-and-exiom-receive-the-first-shipment-of-machinery-for-their-solar-panel-factory", "source")</f>
        <v/>
      </c>
      <c r="T54">
        <f>HYPERLINK("https://www.iberdrola.com/press-room/news/detail/iberdrola-and-exiom-receive-the-first-shipment-of-machinery-for-their-solar-panel-factory", "source")</f>
        <v/>
      </c>
      <c r="U54">
        <f>HYPERLINK("https://www.iberdrola.com/press-room/news/detail/iberdrola-and-exiom-receive-the-first-shipment-of-machinery-for-their-solar-panel-factory", "source")</f>
        <v/>
      </c>
      <c r="V54">
        <f>HYPERLINK("https://www.pv-tech.org/iberdrola-exiom-to-build-500mw-topcon-module-manufacturing-in-spain/", "source")</f>
        <v/>
      </c>
      <c r="W54">
        <f>HYPERLINK("https://www.iberdrola.com/press-room/news/detail/iberdrola-and-exiom-receive-the-first-shipment-of-machinery-for-their-solar-panel-factory", "source")</f>
        <v/>
      </c>
      <c r="X54" t="inlineStr"/>
      <c r="Y54" t="inlineStr">
        <is>
          <t>af299330-047b-5f67-85fb-af37e1ba6ba9</t>
        </is>
      </c>
    </row>
    <row r="55">
      <c r="A55" t="inlineStr">
        <is>
          <t>innolane</t>
        </is>
      </c>
      <c r="B55" t="inlineStr">
        <is>
          <t>NL</t>
        </is>
      </c>
      <c r="C55" t="inlineStr">
        <is>
          <t>Veendam Municipality</t>
        </is>
      </c>
      <c r="D55" t="inlineStr">
        <is>
          <t>solar</t>
        </is>
      </c>
      <c r="E55" t="inlineStr">
        <is>
          <t>cell, module</t>
        </is>
      </c>
      <c r="F55" t="n">
        <v>1</v>
      </c>
      <c r="G55" t="inlineStr">
        <is>
          <t>announced</t>
        </is>
      </c>
      <c r="H55" t="n">
        <v>0.225</v>
      </c>
      <c r="I55" t="n">
        <v>0.225</v>
      </c>
      <c r="J55" t="n">
        <v>85600000</v>
      </c>
      <c r="K55" t="n">
        <v>85600000</v>
      </c>
      <c r="L55" t="b">
        <v>0</v>
      </c>
      <c r="M55" t="inlineStr">
        <is>
          <t>2017-08</t>
        </is>
      </c>
      <c r="N55" t="inlineStr"/>
      <c r="O55" t="inlineStr"/>
      <c r="P55" t="b">
        <v>0</v>
      </c>
      <c r="Q55" t="b">
        <v>0</v>
      </c>
      <c r="R55" t="b">
        <v>0</v>
      </c>
      <c r="S55">
        <f>HYPERLINK("https://solarmagazine.nl/nieuws-zonne-energie/i17887/crowdfunding-voor-zonnepanelenfabriek-in-veendam-innolane-nadert-financial-close", "source")</f>
        <v/>
      </c>
      <c r="T55">
        <f>HYPERLINK("https://solarmagazine.nl/nieuws-zonne-energie/i14308/nieuw-initiatief-voor-zonnepanelenfabriek-veendam-jaarproductie-van-530-000-zonnepanelen", "source")</f>
        <v/>
      </c>
      <c r="U55">
        <f>HYPERLINK("https://solarmagazine.nl/nieuws-zonne-energie/i17887/crowdfunding-voor-zonnepanelenfabriek-in-veendam-innolane-nadert-financial-close", "source")</f>
        <v/>
      </c>
      <c r="V55">
        <f>HYPERLINK("https://solarmagazine.nl/nieuws-zonne-energie/i14308/nieuw-initiatief-voor-zonnepanelenfabriek-veendam-jaarproductie-van-530-000-zonnepanelen", "source")</f>
        <v/>
      </c>
      <c r="W55" t="inlineStr"/>
      <c r="X55" t="inlineStr"/>
      <c r="Y55" t="inlineStr">
        <is>
          <t>d73cab6a-25d2-53d2-9279-f65cda6b63fb</t>
        </is>
      </c>
    </row>
    <row r="56">
      <c r="A56" t="inlineStr">
        <is>
          <t>innolane</t>
        </is>
      </c>
      <c r="B56" t="inlineStr">
        <is>
          <t>NL</t>
        </is>
      </c>
      <c r="C56" t="inlineStr">
        <is>
          <t>Veendam Municipality</t>
        </is>
      </c>
      <c r="D56" t="inlineStr">
        <is>
          <t>solar</t>
        </is>
      </c>
      <c r="E56" t="inlineStr">
        <is>
          <t>cell, module</t>
        </is>
      </c>
      <c r="F56" t="n">
        <v>2</v>
      </c>
      <c r="G56" t="inlineStr">
        <is>
          <t>announced</t>
        </is>
      </c>
      <c r="H56" t="n">
        <v>0</v>
      </c>
      <c r="I56" t="n">
        <v>0.185</v>
      </c>
      <c r="J56" t="n">
        <v>0</v>
      </c>
      <c r="K56" t="n">
        <v>85600000</v>
      </c>
      <c r="L56" t="b">
        <v>0</v>
      </c>
      <c r="M56" t="inlineStr">
        <is>
          <t>2019-03</t>
        </is>
      </c>
      <c r="N56" t="inlineStr"/>
      <c r="O56" t="inlineStr"/>
      <c r="P56" t="b">
        <v>0</v>
      </c>
      <c r="Q56" t="b">
        <v>0</v>
      </c>
      <c r="R56" t="b">
        <v>0</v>
      </c>
      <c r="S56">
        <f>HYPERLINK("https://solarmagazine.nl/nieuws-zonne-energie/i17887/crowdfunding-voor-zonnepanelenfabriek-in-veendam-innolane-nadert-financial-close", "source")</f>
        <v/>
      </c>
      <c r="T56">
        <f>HYPERLINK("https://solarmagazine.nl/nieuws-zonne-energie/i17887/crowdfunding-voor-zonnepanelenfabriek-in-veendam-innolane-nadert-financial-close", "source")</f>
        <v/>
      </c>
      <c r="U56">
        <f>HYPERLINK("https://solarmagazine.nl/nieuws-zonne-energie/i17887/crowdfunding-voor-zonnepanelenfabriek-in-veendam-innolane-nadert-financial-close", "source")</f>
        <v/>
      </c>
      <c r="V56">
        <f>HYPERLINK("https://solarmagazine.nl/nieuws-zonne-energie/i17887/crowdfunding-voor-zonnepanelenfabriek-in-veendam-innolane-nadert-financial-close", "source")</f>
        <v/>
      </c>
      <c r="W56" t="inlineStr"/>
      <c r="X56" t="inlineStr"/>
      <c r="Y56" t="inlineStr">
        <is>
          <t>d73cab6a-25d2-53d2-9279-f65cda6b63fb</t>
        </is>
      </c>
    </row>
    <row r="57">
      <c r="A57" t="inlineStr">
        <is>
          <t>innolane</t>
        </is>
      </c>
      <c r="B57" t="inlineStr">
        <is>
          <t>NL</t>
        </is>
      </c>
      <c r="C57" t="inlineStr">
        <is>
          <t>Veendam Municipality</t>
        </is>
      </c>
      <c r="D57" t="inlineStr">
        <is>
          <t>solar</t>
        </is>
      </c>
      <c r="E57" t="inlineStr">
        <is>
          <t>cell, module</t>
        </is>
      </c>
      <c r="F57" t="n">
        <v>3</v>
      </c>
      <c r="G57" t="inlineStr">
        <is>
          <t>announced</t>
        </is>
      </c>
      <c r="H57" t="n">
        <v>0.365</v>
      </c>
      <c r="I57" t="n">
        <v>0.55</v>
      </c>
      <c r="J57" t="n">
        <v>168886486.4864865</v>
      </c>
      <c r="K57" t="n">
        <v>254486486.4864865</v>
      </c>
      <c r="L57" t="b">
        <v>1</v>
      </c>
      <c r="M57" t="inlineStr">
        <is>
          <t>2019-03</t>
        </is>
      </c>
      <c r="N57" t="inlineStr"/>
      <c r="O57" t="inlineStr"/>
      <c r="P57" t="b">
        <v>0</v>
      </c>
      <c r="Q57" t="b">
        <v>0</v>
      </c>
      <c r="R57" t="b">
        <v>0</v>
      </c>
      <c r="S57">
        <f>HYPERLINK("https://solarmagazine.nl/nieuws-zonne-energie/i17887/crowdfunding-voor-zonnepanelenfabriek-in-veendam-innolane-nadert-financial-close", "source")</f>
        <v/>
      </c>
      <c r="T57">
        <f>HYPERLINK("https://solarmagazine.nl/nieuws-zonne-energie/i17887/crowdfunding-voor-zonnepanelenfabriek-in-veendam-innolane-nadert-financial-close", "source")</f>
        <v/>
      </c>
      <c r="U57">
        <f>HYPERLINK("https://solarmagazine.nl/nieuws-zonne-energie/i17887/crowdfunding-voor-zonnepanelenfabriek-in-veendam-innolane-nadert-financial-close", "source")</f>
        <v/>
      </c>
      <c r="V57">
        <f>HYPERLINK("https://solarmagazine.nl/nieuws-zonne-energie/i17887/crowdfunding-voor-zonnepanelenfabriek-in-veendam-innolane-nadert-financial-close", "source")</f>
        <v/>
      </c>
      <c r="W57" t="inlineStr"/>
      <c r="X57" t="inlineStr"/>
      <c r="Y57" t="inlineStr">
        <is>
          <t>d73cab6a-25d2-53d2-9279-f65cda6b63fb</t>
        </is>
      </c>
    </row>
    <row r="58">
      <c r="A58" t="inlineStr">
        <is>
          <t>karpat solar</t>
        </is>
      </c>
      <c r="B58" t="inlineStr">
        <is>
          <t>RO</t>
        </is>
      </c>
      <c r="C58" t="inlineStr">
        <is>
          <t>Harghita County</t>
        </is>
      </c>
      <c r="D58" t="inlineStr">
        <is>
          <t>solar</t>
        </is>
      </c>
      <c r="E58" t="inlineStr">
        <is>
          <t>module</t>
        </is>
      </c>
      <c r="F58" t="n">
        <v>1</v>
      </c>
      <c r="G58" t="inlineStr">
        <is>
          <t>operational</t>
        </is>
      </c>
      <c r="H58" t="n">
        <v>0.1</v>
      </c>
      <c r="I58" t="n">
        <v>0.1</v>
      </c>
      <c r="J58" t="n">
        <v>8300000</v>
      </c>
      <c r="K58" t="n">
        <v>8300000</v>
      </c>
      <c r="L58" t="b">
        <v>1</v>
      </c>
      <c r="M58" t="inlineStr">
        <is>
          <t>2022-01</t>
        </is>
      </c>
      <c r="N58" t="inlineStr">
        <is>
          <t>2022-01</t>
        </is>
      </c>
      <c r="O58" t="inlineStr">
        <is>
          <t>2025-01</t>
        </is>
      </c>
      <c r="P58" t="b">
        <v>1</v>
      </c>
      <c r="Q58" t="b">
        <v>1</v>
      </c>
      <c r="R58" t="b">
        <v>0</v>
      </c>
      <c r="S58">
        <f>HYPERLINK("https://www.linkedin.com/feed/update/urn:li:activity:7274793510531125250/", "source")</f>
        <v/>
      </c>
      <c r="T58">
        <f>HYPERLINK("https://www.linkedin.com/feed/update/urn:li:activity:7274793510531125250/", "source")</f>
        <v/>
      </c>
      <c r="U58">
        <f>HYPERLINK("https://www.linkedin.com/feed/update/urn:li:activity:7274793510531125250/", "source")</f>
        <v/>
      </c>
      <c r="V58" t="inlineStr"/>
      <c r="W58" t="inlineStr"/>
      <c r="X58">
        <f>HYPERLINK("https://www.linkedin.com/feed/update/urn:li:activity:7274793510531125250/", "source")</f>
        <v/>
      </c>
      <c r="Y58" t="inlineStr">
        <is>
          <t>f0fbd1ad-7bab-5a53-addd-4f790c87438a</t>
        </is>
      </c>
    </row>
    <row r="59">
      <c r="A59" t="inlineStr">
        <is>
          <t>maxeon solar technologies</t>
        </is>
      </c>
      <c r="B59" t="inlineStr">
        <is>
          <t>FR</t>
        </is>
      </c>
      <c r="C59" t="inlineStr">
        <is>
          <t>Porcelette</t>
        </is>
      </c>
      <c r="D59" t="inlineStr">
        <is>
          <t>solar</t>
        </is>
      </c>
      <c r="E59" t="inlineStr">
        <is>
          <t>module</t>
        </is>
      </c>
      <c r="F59" t="n">
        <v>1</v>
      </c>
      <c r="G59" t="inlineStr">
        <is>
          <t>cancelled</t>
        </is>
      </c>
      <c r="H59" t="n">
        <v>0.044</v>
      </c>
      <c r="I59" t="n">
        <v>0.044</v>
      </c>
      <c r="J59" t="n">
        <v>3652000</v>
      </c>
      <c r="K59" t="n">
        <v>3652000</v>
      </c>
      <c r="L59" t="b">
        <v>1</v>
      </c>
      <c r="M59" t="inlineStr">
        <is>
          <t>2022-10</t>
        </is>
      </c>
      <c r="N59" t="inlineStr">
        <is>
          <t>2022-10</t>
        </is>
      </c>
      <c r="O59" t="inlineStr">
        <is>
          <t>2022-10</t>
        </is>
      </c>
      <c r="P59" t="b">
        <v>0</v>
      </c>
      <c r="Q59" t="b">
        <v>0</v>
      </c>
      <c r="R59" t="b">
        <v>0</v>
      </c>
      <c r="S59">
        <f>HYPERLINK("https://www.pv-tech.org/rec-shelves-4gw-french-heterojunction-solar-module-factory/", "source")</f>
        <v/>
      </c>
      <c r="T59">
        <f>HYPERLINK("https://www.pv-tech.org/maxeon-closes-french-solar-module-manufacturing-plant/", "source")</f>
        <v/>
      </c>
      <c r="U59">
        <f>HYPERLINK("https://www.pv-tech.org/maxeon-closes-french-solar-module-manufacturing-plant/", "source")</f>
        <v/>
      </c>
      <c r="V59">
        <f>HYPERLINK("https://www.pv-tech.org/maxeon-closes-french-solar-module-manufacturing-plant/", "source")</f>
        <v/>
      </c>
      <c r="W59">
        <f>HYPERLINK("https://www.pv-tech.org/maxeon-closes-french-solar-module-manufacturing-plant/", "source")</f>
        <v/>
      </c>
      <c r="X59">
        <f>HYPERLINK("https://www.pv-tech.org/maxeon-closes-french-solar-module-manufacturing-plant/", "source")</f>
        <v/>
      </c>
      <c r="Y59" t="inlineStr">
        <is>
          <t>eb6fb5b8-7c8d-5269-8ec8-b975e2a87da5</t>
        </is>
      </c>
    </row>
    <row r="60">
      <c r="A60" t="inlineStr">
        <is>
          <t>mcpv</t>
        </is>
      </c>
      <c r="B60" t="inlineStr">
        <is>
          <t>ES</t>
        </is>
      </c>
      <c r="C60" t="inlineStr">
        <is>
          <t>Navarre</t>
        </is>
      </c>
      <c r="D60" t="inlineStr">
        <is>
          <t>solar</t>
        </is>
      </c>
      <c r="E60" t="inlineStr">
        <is>
          <t>module</t>
        </is>
      </c>
      <c r="F60" t="n">
        <v>1</v>
      </c>
      <c r="G60" t="inlineStr">
        <is>
          <t>announced</t>
        </is>
      </c>
      <c r="H60" t="n">
        <v>2.5</v>
      </c>
      <c r="I60" t="n">
        <v>2.5</v>
      </c>
      <c r="J60" t="n">
        <v>207500000</v>
      </c>
      <c r="K60" t="n">
        <v>207500000</v>
      </c>
      <c r="L60" t="b">
        <v>1</v>
      </c>
      <c r="M60" t="inlineStr">
        <is>
          <t>2025-07</t>
        </is>
      </c>
      <c r="N60" t="inlineStr"/>
      <c r="O60" t="inlineStr"/>
      <c r="P60" t="b">
        <v>0</v>
      </c>
      <c r="Q60" t="b">
        <v>0</v>
      </c>
      <c r="R60" t="b">
        <v>0</v>
      </c>
      <c r="S60">
        <f>HYPERLINK("https://www.pv-tech.org/spain-to-invest-e480-million-in-renewables-manufacturing/", "source")</f>
        <v/>
      </c>
      <c r="T60">
        <f>HYPERLINK("https://www.pv-tech.org/spain-to-invest-e480-million-in-renewables-manufacturing/", "source")</f>
        <v/>
      </c>
      <c r="U60">
        <f>HYPERLINK("https://www.pv-tech.org/spain-to-invest-e480-million-in-renewables-manufacturing/", "source")</f>
        <v/>
      </c>
      <c r="V60">
        <f>HYPERLINK("https://www.pv-tech.org/spain-to-invest-e480-million-in-renewables-manufacturing/", "source")</f>
        <v/>
      </c>
      <c r="W60" t="inlineStr"/>
      <c r="X60" t="inlineStr"/>
      <c r="Y60" t="inlineStr">
        <is>
          <t>fe01d9e3-da38-5f0c-91d1-7e54ee44fa80</t>
        </is>
      </c>
    </row>
    <row r="61">
      <c r="A61" t="inlineStr">
        <is>
          <t>mcpv</t>
        </is>
      </c>
      <c r="B61" t="inlineStr">
        <is>
          <t>ES</t>
        </is>
      </c>
      <c r="C61" t="inlineStr">
        <is>
          <t>Tudela</t>
        </is>
      </c>
      <c r="D61" t="inlineStr">
        <is>
          <t>solar</t>
        </is>
      </c>
      <c r="E61" t="inlineStr">
        <is>
          <t>module</t>
        </is>
      </c>
      <c r="F61" t="n">
        <v>1</v>
      </c>
      <c r="G61" t="inlineStr">
        <is>
          <t>announced</t>
        </is>
      </c>
      <c r="H61" t="n">
        <v>2.5</v>
      </c>
      <c r="I61" t="n">
        <v>2.5</v>
      </c>
      <c r="J61" t="n">
        <v>10000000</v>
      </c>
      <c r="K61" t="n">
        <v>10000000</v>
      </c>
      <c r="L61" t="b">
        <v>0</v>
      </c>
      <c r="M61" t="inlineStr">
        <is>
          <t>2025-04</t>
        </is>
      </c>
      <c r="N61" t="inlineStr"/>
      <c r="O61" t="inlineStr"/>
      <c r="P61" t="b">
        <v>0</v>
      </c>
      <c r="Q61" t="b">
        <v>0</v>
      </c>
      <c r="R61" t="b">
        <v>0</v>
      </c>
      <c r="S61">
        <f>HYPERLINK("https://www.pv-magazine.com/2025/04/03/mcpv-secures-e10-million-grant-for-2-5-gw-solar-module-factory-in-spain/", "source")</f>
        <v/>
      </c>
      <c r="T61">
        <f>HYPERLINK("https://www.pv-magazine.com/2025/04/03/mcpv-secures-e10-million-grant-for-2-5-gw-solar-module-factory-in-spain/", "source")</f>
        <v/>
      </c>
      <c r="U61">
        <f>HYPERLINK("https://www.pv-magazine.com/2025/04/03/mcpv-secures-e10-million-grant-for-2-5-gw-solar-module-factory-in-spain/", "source")</f>
        <v/>
      </c>
      <c r="V61">
        <f>HYPERLINK("https://www.pv-magazine.com/2025/04/03/mcpv-secures-e10-million-grant-for-2-5-gw-solar-module-factory-in-spain/", "source")</f>
        <v/>
      </c>
      <c r="W61" t="inlineStr"/>
      <c r="X61" t="inlineStr"/>
      <c r="Y61" t="inlineStr">
        <is>
          <t>195946e8-b022-5599-bac4-5951c51ccf17</t>
        </is>
      </c>
    </row>
    <row r="62">
      <c r="A62" t="inlineStr">
        <is>
          <t>mcpv</t>
        </is>
      </c>
      <c r="B62" t="inlineStr">
        <is>
          <t>NL</t>
        </is>
      </c>
      <c r="C62" t="inlineStr">
        <is>
          <t>Groningen. Municipality</t>
        </is>
      </c>
      <c r="D62" t="inlineStr">
        <is>
          <t>solar</t>
        </is>
      </c>
      <c r="E62" t="inlineStr">
        <is>
          <t>cell, module</t>
        </is>
      </c>
      <c r="F62" t="n">
        <v>1</v>
      </c>
      <c r="G62" t="inlineStr">
        <is>
          <t>under construction</t>
        </is>
      </c>
      <c r="H62" t="n">
        <v>4</v>
      </c>
      <c r="I62" t="n">
        <v>4</v>
      </c>
      <c r="J62" t="n">
        <v>4200000</v>
      </c>
      <c r="K62" t="n">
        <v>4200000</v>
      </c>
      <c r="L62" t="b">
        <v>0</v>
      </c>
      <c r="M62" t="inlineStr">
        <is>
          <t>2023-07</t>
        </is>
      </c>
      <c r="N62" t="inlineStr">
        <is>
          <t>2025-09</t>
        </is>
      </c>
      <c r="O62" t="inlineStr">
        <is>
          <t>2028-09</t>
        </is>
      </c>
      <c r="P62" t="b">
        <v>0</v>
      </c>
      <c r="Q62" t="b">
        <v>0</v>
      </c>
      <c r="R62" t="b">
        <v>1</v>
      </c>
      <c r="S62">
        <f>HYPERLINK("https://www.pv-tech.org/the-netherlands-ceases-solarnl-manufacturing-programme/", "source")</f>
        <v/>
      </c>
      <c r="T62">
        <f>HYPERLINK("https://www.pv-tech.org/the-netherlands-ceases-solarnl-manufacturing-programme/", "source")</f>
        <v/>
      </c>
      <c r="U62">
        <f>HYPERLINK("https://www.pv-magazine.com/2025/04/03/mcpv-secures-e10-million-grant-for-2-5-gw-solar-module-factory-in-spain/", "source")</f>
        <v/>
      </c>
      <c r="V62">
        <f>HYPERLINK("https://taiyangnews.info/markets/high-efficiency-module-tech-growing-in-europe", "source")</f>
        <v/>
      </c>
      <c r="W62">
        <f>HYPERLINK("https://www.pv-tech.org/the-netherlands-ceases-solarnl-manufacturing-programme/", "source")</f>
        <v/>
      </c>
      <c r="X62" t="inlineStr"/>
      <c r="Y62" t="inlineStr">
        <is>
          <t>3a2e2e28-7e65-584f-b37d-8de99029dceb</t>
        </is>
      </c>
    </row>
    <row r="63">
      <c r="A63" t="inlineStr">
        <is>
          <t>mcpv</t>
        </is>
      </c>
      <c r="B63" t="inlineStr">
        <is>
          <t>NL</t>
        </is>
      </c>
      <c r="C63" t="inlineStr">
        <is>
          <t>Groningen. Municipality</t>
        </is>
      </c>
      <c r="D63" t="inlineStr">
        <is>
          <t>solar</t>
        </is>
      </c>
      <c r="E63" t="inlineStr">
        <is>
          <t>cell, module</t>
        </is>
      </c>
      <c r="F63" t="n">
        <v>2</v>
      </c>
      <c r="G63" t="inlineStr">
        <is>
          <t>announced</t>
        </is>
      </c>
      <c r="H63" t="n">
        <v>2</v>
      </c>
      <c r="I63" t="n">
        <v>6</v>
      </c>
      <c r="J63" t="n">
        <v>2100000</v>
      </c>
      <c r="K63" t="n">
        <v>6300000</v>
      </c>
      <c r="L63" t="b">
        <v>1</v>
      </c>
      <c r="M63" t="inlineStr">
        <is>
          <t>2023-07</t>
        </is>
      </c>
      <c r="N63" t="inlineStr"/>
      <c r="O63" t="inlineStr"/>
      <c r="P63" t="b">
        <v>0</v>
      </c>
      <c r="Q63" t="b">
        <v>0</v>
      </c>
      <c r="R63" t="b">
        <v>0</v>
      </c>
      <c r="S63">
        <f>HYPERLINK("https://taiyangnews.info/markets/high-efficiency-module-tech-growing-in-europe", "source")</f>
        <v/>
      </c>
      <c r="T63">
        <f>HYPERLINK("https://taiyangnews.info/markets/high-efficiency-module-tech-growing-in-europe", "source")</f>
        <v/>
      </c>
      <c r="U63">
        <f>HYPERLINK("https://taiyangnews.info/markets/high-efficiency-module-tech-growing-in-europe", "source")</f>
        <v/>
      </c>
      <c r="V63">
        <f>HYPERLINK("https://taiyangnews.info/markets/high-efficiency-module-tech-growing-in-europe", "source")</f>
        <v/>
      </c>
      <c r="W63" t="inlineStr"/>
      <c r="X63" t="inlineStr"/>
      <c r="Y63" t="inlineStr">
        <is>
          <t>3a2e2e28-7e65-584f-b37d-8de99029dceb</t>
        </is>
      </c>
    </row>
    <row r="64">
      <c r="A64" t="inlineStr">
        <is>
          <t>megasol</t>
        </is>
      </c>
      <c r="B64" t="inlineStr">
        <is>
          <t>CH</t>
        </is>
      </c>
      <c r="C64" t="inlineStr">
        <is>
          <t>Solothurn</t>
        </is>
      </c>
      <c r="D64" t="inlineStr">
        <is>
          <t>solar</t>
        </is>
      </c>
      <c r="E64" t="inlineStr">
        <is>
          <t>module</t>
        </is>
      </c>
      <c r="F64" t="n">
        <v>1</v>
      </c>
      <c r="G64" t="inlineStr">
        <is>
          <t>operational</t>
        </is>
      </c>
      <c r="H64" t="n">
        <v>0.4</v>
      </c>
      <c r="I64" t="n">
        <v>0.4</v>
      </c>
      <c r="J64" t="n">
        <v>33200000</v>
      </c>
      <c r="K64" t="n">
        <v>33200000</v>
      </c>
      <c r="L64" t="b">
        <v>1</v>
      </c>
      <c r="M64" t="inlineStr">
        <is>
          <t>2018-06</t>
        </is>
      </c>
      <c r="N64" t="inlineStr">
        <is>
          <t>2018-06</t>
        </is>
      </c>
      <c r="O64" t="inlineStr">
        <is>
          <t>2021-06</t>
        </is>
      </c>
      <c r="P64" t="b">
        <v>1</v>
      </c>
      <c r="Q64" t="b">
        <v>1</v>
      </c>
      <c r="R64" t="b">
        <v>0</v>
      </c>
      <c r="S64">
        <f>HYPERLINK("https://iea-pvps.org/wp-content/uploads/2023/10/National-Survey-Report-of-PV-Power-Applications-in-SWITZERLAND-September-2023-v01-1.pdf", "source")</f>
        <v/>
      </c>
      <c r="T64">
        <f>HYPERLINK("https://iea-pvps.org/wp-content/uploads/2023/10/National-Survey-Report-of-PV-Power-Applications-in-SWITZERLAND-September-2023-v01-1.pdf", "source")</f>
        <v/>
      </c>
      <c r="U64">
        <f>HYPERLINK("https://iea-pvps.org/wp-content/uploads/2023/10/National-Survey-Report-of-PV-Power-Applications-in-SWITZERLAND-September-2023-v01-1.pdf", "source")</f>
        <v/>
      </c>
      <c r="V64" t="inlineStr"/>
      <c r="W64" t="inlineStr"/>
      <c r="X64">
        <f>HYPERLINK("https://iea-pvps.org/wp-content/uploads/2023/02/IEA-PVPS-National-Survey-Report-Switzerland-2021.pdf", "source")</f>
        <v/>
      </c>
      <c r="Y64" t="inlineStr">
        <is>
          <t>5d7376e7-695b-544e-a6ed-6907ea0d9c15</t>
        </is>
      </c>
    </row>
    <row r="65">
      <c r="A65" t="inlineStr">
        <is>
          <t>megasol</t>
        </is>
      </c>
      <c r="B65" t="inlineStr">
        <is>
          <t>CH</t>
        </is>
      </c>
      <c r="C65" t="inlineStr">
        <is>
          <t>Solothurn</t>
        </is>
      </c>
      <c r="D65" t="inlineStr">
        <is>
          <t>solar</t>
        </is>
      </c>
      <c r="E65" t="inlineStr">
        <is>
          <t>module</t>
        </is>
      </c>
      <c r="F65" t="n">
        <v>2</v>
      </c>
      <c r="G65" t="inlineStr">
        <is>
          <t>operational</t>
        </is>
      </c>
      <c r="H65" t="n">
        <v>0</v>
      </c>
      <c r="I65" t="n">
        <v>0.08</v>
      </c>
      <c r="J65" t="n">
        <v>0</v>
      </c>
      <c r="K65" t="n">
        <v>33200000</v>
      </c>
      <c r="L65" t="b">
        <v>1</v>
      </c>
      <c r="M65" t="inlineStr">
        <is>
          <t>2013-07</t>
        </is>
      </c>
      <c r="N65" t="inlineStr">
        <is>
          <t>2013-07</t>
        </is>
      </c>
      <c r="O65" t="inlineStr">
        <is>
          <t>2016-07</t>
        </is>
      </c>
      <c r="P65" t="b">
        <v>1</v>
      </c>
      <c r="Q65" t="b">
        <v>1</v>
      </c>
      <c r="R65" t="b">
        <v>0</v>
      </c>
      <c r="S65">
        <f>HYPERLINK("https://www.organisator.ch/en/sustainability/2016-07-21/groesste-solarmodulfabrik-der-schweiz-oeffnet-tore/", "source")</f>
        <v/>
      </c>
      <c r="T65">
        <f>HYPERLINK("https://www.organisator.ch/en/sustainability/2016-07-21/groesste-solarmodulfabrik-der-schweiz-oeffnet-tore/", "source")</f>
        <v/>
      </c>
      <c r="U65">
        <f>HYPERLINK("https://www.organisator.ch/en/sustainability/2016-07-21/groesste-solarmodulfabrik-der-schweiz-oeffnet-tore/", "source")</f>
        <v/>
      </c>
      <c r="V65" t="inlineStr"/>
      <c r="W65" t="inlineStr"/>
      <c r="X65">
        <f>HYPERLINK("https://www.organisator.ch/en/sustainability/2016-07-21/groesste-solarmodulfabrik-der-schweiz-oeffnet-tore/", "source")</f>
        <v/>
      </c>
      <c r="Y65" t="inlineStr">
        <is>
          <t>5d7376e7-695b-544e-a6ed-6907ea0d9c15</t>
        </is>
      </c>
    </row>
    <row r="66">
      <c r="A66" t="inlineStr">
        <is>
          <t>meyer burger</t>
        </is>
      </c>
      <c r="B66" t="inlineStr">
        <is>
          <t>DE</t>
        </is>
      </c>
      <c r="C66" t="inlineStr">
        <is>
          <t>Freiberg</t>
        </is>
      </c>
      <c r="D66" t="inlineStr">
        <is>
          <t>solar</t>
        </is>
      </c>
      <c r="E66" t="inlineStr">
        <is>
          <t>cell, module</t>
        </is>
      </c>
      <c r="F66" t="n">
        <v>1</v>
      </c>
      <c r="G66" t="inlineStr">
        <is>
          <t>operational</t>
        </is>
      </c>
      <c r="H66" t="n">
        <v>0.4</v>
      </c>
      <c r="I66" t="n">
        <v>0.4</v>
      </c>
      <c r="J66" t="n">
        <v>33200000</v>
      </c>
      <c r="K66" t="n">
        <v>33200000</v>
      </c>
      <c r="L66" t="b">
        <v>1</v>
      </c>
      <c r="M66" t="inlineStr">
        <is>
          <t>2021-01</t>
        </is>
      </c>
      <c r="N66" t="inlineStr">
        <is>
          <t>2021-01</t>
        </is>
      </c>
      <c r="O66" t="inlineStr">
        <is>
          <t>2021-05</t>
        </is>
      </c>
      <c r="P66" t="b">
        <v>0</v>
      </c>
      <c r="Q66" t="b">
        <v>0</v>
      </c>
      <c r="R66" t="b">
        <v>0</v>
      </c>
      <c r="S66">
        <f>HYPERLINK("https://www.pv-tech.org/meyer-burger-cuts-solar-module-output-at-german-plant-due-to-covid-19/", "source")</f>
        <v/>
      </c>
      <c r="T66">
        <f>HYPERLINK("https://www.pv-tech.org/meyer-burger-cuts-solar-module-output-at-german-plant-due-to-covid-19/", "source")</f>
        <v/>
      </c>
      <c r="U66">
        <f>HYPERLINK("https://www.pv-tech.org/meyer-burger-cuts-solar-module-output-at-german-plant-due-to-covid-19/", "source")</f>
        <v/>
      </c>
      <c r="V66">
        <f>HYPERLINK("https://www.pv-magazine.com/2021/01/05/meyer-burger-gets-e22-5-million-in-public-subsidies-for-heterojunction-module-factory/", "source")</f>
        <v/>
      </c>
      <c r="W66">
        <f>HYPERLINK("https://www.pv-magazine.com/2021/01/05/meyer-burger-gets-e22-5-million-in-public-subsidies-for-heterojunction-module-factory/", "source")</f>
        <v/>
      </c>
      <c r="X66">
        <f>HYPERLINK("https://www.pv-magazine.com/2021/05/26/meyer-burger-begins-manufacturing-activities-at-400-mw-module-factory-in-germany/", "source")</f>
        <v/>
      </c>
      <c r="Y66" t="inlineStr">
        <is>
          <t>884acde6-2396-5f1d-9068-0f7464ecc1dd</t>
        </is>
      </c>
    </row>
    <row r="67">
      <c r="A67" t="inlineStr">
        <is>
          <t>meyer burger</t>
        </is>
      </c>
      <c r="B67" t="inlineStr">
        <is>
          <t>DE</t>
        </is>
      </c>
      <c r="C67" t="inlineStr">
        <is>
          <t>Freiberg</t>
        </is>
      </c>
      <c r="D67" t="inlineStr">
        <is>
          <t>solar</t>
        </is>
      </c>
      <c r="E67" t="inlineStr">
        <is>
          <t>cell, module</t>
        </is>
      </c>
      <c r="F67" t="n">
        <v>2</v>
      </c>
      <c r="G67" t="inlineStr">
        <is>
          <t>under construction</t>
        </is>
      </c>
      <c r="H67" t="n">
        <v>0.9999999999999999</v>
      </c>
      <c r="I67" t="n">
        <v>1.4</v>
      </c>
      <c r="J67" t="n">
        <v>151800000</v>
      </c>
      <c r="K67" t="n">
        <v>185000000</v>
      </c>
      <c r="L67" t="b">
        <v>0</v>
      </c>
      <c r="M67" t="inlineStr">
        <is>
          <t>2021-03</t>
        </is>
      </c>
      <c r="N67" t="inlineStr">
        <is>
          <t>2022-04</t>
        </is>
      </c>
      <c r="O67" t="inlineStr">
        <is>
          <t>2025-04</t>
        </is>
      </c>
      <c r="P67" t="b">
        <v>0</v>
      </c>
      <c r="Q67" t="b">
        <v>0</v>
      </c>
      <c r="R67" t="b">
        <v>1</v>
      </c>
      <c r="S67">
        <f>HYPERLINK("https://www.pv-magazine.com/2022/10/05/meyer-burger-secures-255-2-million-to-scale-up-production-capacity-to-3-gw/", "source")</f>
        <v/>
      </c>
      <c r="T67">
        <f>HYPERLINK("https://www.pv-magazine.com/2022/10/05/meyer-burger-secures-255-2-million-to-scale-up-production-capacity-to-3-gw/", "source")</f>
        <v/>
      </c>
      <c r="U67">
        <f>HYPERLINK("https://www.pv-tech.org/product-round-up-rec-group-launches-new-n-type-module-philadelphia-solar-plans-1gw-facility/", "source")</f>
        <v/>
      </c>
      <c r="V67">
        <f>HYPERLINK("https://www.pv-magazine.com/2021/03/12/meyer-burger-to-start-pv-cell-module-production-in-may/", "source")</f>
        <v/>
      </c>
      <c r="W67">
        <f>HYPERLINK("https://www.meyerburger.com/fileadmin/user_upload/News/20220429_MBTN_MM_Module_Germany.pdf", "source")</f>
        <v/>
      </c>
      <c r="X67" t="inlineStr"/>
      <c r="Y67" t="inlineStr">
        <is>
          <t>884acde6-2396-5f1d-9068-0f7464ecc1dd</t>
        </is>
      </c>
    </row>
    <row r="68">
      <c r="A68" t="inlineStr">
        <is>
          <t>meyer burger</t>
        </is>
      </c>
      <c r="B68" t="inlineStr">
        <is>
          <t>DE</t>
        </is>
      </c>
      <c r="C68" t="inlineStr">
        <is>
          <t>Thalheim</t>
        </is>
      </c>
      <c r="D68" t="inlineStr">
        <is>
          <t>solar</t>
        </is>
      </c>
      <c r="E68" t="inlineStr">
        <is>
          <t>cell, module</t>
        </is>
      </c>
      <c r="F68" t="n">
        <v>1</v>
      </c>
      <c r="G68" t="inlineStr">
        <is>
          <t>operational</t>
        </is>
      </c>
      <c r="H68" t="n">
        <v>0.4</v>
      </c>
      <c r="I68" t="n">
        <v>0.4</v>
      </c>
      <c r="J68" t="n">
        <v>15000000</v>
      </c>
      <c r="K68" t="n">
        <v>15000000</v>
      </c>
      <c r="L68" t="b">
        <v>0</v>
      </c>
      <c r="M68" t="inlineStr">
        <is>
          <t>2021-01</t>
        </is>
      </c>
      <c r="N68" t="inlineStr">
        <is>
          <t>2021-01</t>
        </is>
      </c>
      <c r="O68" t="inlineStr">
        <is>
          <t>2021-05</t>
        </is>
      </c>
      <c r="P68" t="b">
        <v>0</v>
      </c>
      <c r="Q68" t="b">
        <v>0</v>
      </c>
      <c r="R68" t="b">
        <v>0</v>
      </c>
      <c r="S68">
        <f>HYPERLINK("https://www.pv-tech.org/meyer-burger-cuts-solar-module-output-at-german-plant-due-to-covid-19/", "source")</f>
        <v/>
      </c>
      <c r="T68">
        <f>HYPERLINK("https://www.pv-tech.org/meyer-burger-cuts-solar-module-output-at-german-plant-due-to-covid-19/", "source")</f>
        <v/>
      </c>
      <c r="U68">
        <f>HYPERLINK("https://www.pv-magazine.com/2021/01/05/meyer-burger-gets-e22-5-million-in-public-subsidies-for-heterojunction-module-factory/", "source")</f>
        <v/>
      </c>
      <c r="V68">
        <f>HYPERLINK("https://www.pv-magazine.com/2021/01/05/meyer-burger-gets-e22-5-million-in-public-subsidies-for-heterojunction-module-factory/", "source")</f>
        <v/>
      </c>
      <c r="W68">
        <f>HYPERLINK("https://www.pv-magazine.com/2021/01/05/meyer-burger-gets-e22-5-million-in-public-subsidies-for-heterojunction-module-factory/", "source")</f>
        <v/>
      </c>
      <c r="X68">
        <f>HYPERLINK("https://www.meyerburger.com/en/newsroom/artikel/meyer-burger-opens-new-plant-to-produce-high-performance-solar-cells-in-thalheim-city-of-bitterfeld-wolfen", "source")</f>
        <v/>
      </c>
      <c r="Y68" t="inlineStr">
        <is>
          <t>b582200d-90b7-5866-bdc9-3330490e5836</t>
        </is>
      </c>
    </row>
    <row r="69">
      <c r="A69" t="inlineStr">
        <is>
          <t>meyer burger</t>
        </is>
      </c>
      <c r="B69" t="inlineStr">
        <is>
          <t>DE</t>
        </is>
      </c>
      <c r="C69" t="inlineStr">
        <is>
          <t>Thalheim</t>
        </is>
      </c>
      <c r="D69" t="inlineStr">
        <is>
          <t>solar</t>
        </is>
      </c>
      <c r="E69" t="inlineStr">
        <is>
          <t>cell, module</t>
        </is>
      </c>
      <c r="F69" t="n">
        <v>2</v>
      </c>
      <c r="G69" t="inlineStr">
        <is>
          <t>under construction</t>
        </is>
      </c>
      <c r="H69" t="n">
        <v>1.1</v>
      </c>
      <c r="I69" t="n">
        <v>1.5</v>
      </c>
      <c r="J69" t="n">
        <v>41250000</v>
      </c>
      <c r="K69" t="n">
        <v>56250000</v>
      </c>
      <c r="L69" t="b">
        <v>1</v>
      </c>
      <c r="M69" t="inlineStr">
        <is>
          <t>2021-01</t>
        </is>
      </c>
      <c r="N69" t="inlineStr">
        <is>
          <t>2022-08</t>
        </is>
      </c>
      <c r="O69" t="inlineStr">
        <is>
          <t>2025-08</t>
        </is>
      </c>
      <c r="P69" t="b">
        <v>0</v>
      </c>
      <c r="Q69" t="b">
        <v>0</v>
      </c>
      <c r="R69" t="b">
        <v>1</v>
      </c>
      <c r="S69">
        <f>HYPERLINK("https://www.pv-tech.org/meyer-burger-lands-5gw-module-supply-agreement-with-desri-as-it-cuts-its-h1-losses-on-last-year/", "source")</f>
        <v/>
      </c>
      <c r="T69">
        <f>HYPERLINK("https://www.pv-tech.org/meyer-burger-lands-5gw-module-supply-agreement-with-desri-as-it-cuts-its-h1-losses-on-last-year/", "source")</f>
        <v/>
      </c>
      <c r="U69">
        <f>HYPERLINK("https://www.pv-tech.org/meyer-burger-lands-5gw-module-supply-agreement-with-desri-as-it-cuts-its-h1-losses-on-last-year/", "source")</f>
        <v/>
      </c>
      <c r="V69">
        <f>HYPERLINK("https://www.pv-magazine.com/2021/01/05/meyer-burger-gets-e22-5-million-in-public-subsidies-for-heterojunction-module-factory/", "source")</f>
        <v/>
      </c>
      <c r="W69">
        <f>HYPERLINK("https://www.pv-tech.org/meyer-burger-lands-5gw-module-supply-agreement-with-desri-as-it-cuts-its-h1-losses-on-last-year/", "source")</f>
        <v/>
      </c>
      <c r="X69" t="inlineStr"/>
      <c r="Y69" t="inlineStr">
        <is>
          <t>b582200d-90b7-5866-bdc9-3330490e5836</t>
        </is>
      </c>
    </row>
    <row r="70">
      <c r="A70" t="inlineStr">
        <is>
          <t>midsummer</t>
        </is>
      </c>
      <c r="B70" t="inlineStr">
        <is>
          <t>IT</t>
        </is>
      </c>
      <c r="C70" t="inlineStr">
        <is>
          <t>Apulia</t>
        </is>
      </c>
      <c r="D70" t="inlineStr">
        <is>
          <t>solar</t>
        </is>
      </c>
      <c r="E70" t="inlineStr">
        <is>
          <t>cell, module</t>
        </is>
      </c>
      <c r="F70" t="n">
        <v>1</v>
      </c>
      <c r="G70" t="inlineStr">
        <is>
          <t>operational</t>
        </is>
      </c>
      <c r="H70" t="n">
        <v>0.05</v>
      </c>
      <c r="I70" t="n">
        <v>0.05</v>
      </c>
      <c r="J70" t="n">
        <v>22000000</v>
      </c>
      <c r="K70" t="n">
        <v>22000000</v>
      </c>
      <c r="L70" t="b">
        <v>0</v>
      </c>
      <c r="M70" t="inlineStr">
        <is>
          <t>2021-02</t>
        </is>
      </c>
      <c r="N70" t="inlineStr">
        <is>
          <t>2021-11</t>
        </is>
      </c>
      <c r="O70" t="inlineStr">
        <is>
          <t>2025-06</t>
        </is>
      </c>
      <c r="P70" t="b">
        <v>0</v>
      </c>
      <c r="Q70" t="b">
        <v>0</v>
      </c>
      <c r="R70" t="b">
        <v>0</v>
      </c>
      <c r="S70">
        <f>HYPERLINK("https://midsummer.se/wp-content/uploads/2025/06/Interim-report-Q1-2025.pdf", "source")</f>
        <v/>
      </c>
      <c r="T70">
        <f>HYPERLINK("https://midsummer.se/wp-content/uploads/2025/06/Interim-report-Q1-2025.pdf", "source")</f>
        <v/>
      </c>
      <c r="U70">
        <f>HYPERLINK("https://www.inderes.dk/en/releases/midsummer-receives-grant-payment-from-invitalia-of-16-million-euros", "source")</f>
        <v/>
      </c>
      <c r="V70">
        <f>HYPERLINK("https://www.pv-magazine.com/2021/02/10/midsummer-ships-cigs-production-line-to-russia/", "source")</f>
        <v/>
      </c>
      <c r="W70">
        <f>HYPERLINK("https://www.pv-tech.org/midsummer-awarded-us44m-to-support-italy-thin-film-factory-plans/", "source")</f>
        <v/>
      </c>
      <c r="X70">
        <f>HYPERLINK("https://midsummer.se/wp-content/uploads/2025/06/Interim-report-Q1-2025.pdf", "source")</f>
        <v/>
      </c>
      <c r="Y70" t="inlineStr">
        <is>
          <t>5c60e584-e782-5b96-9294-28c35754fc83</t>
        </is>
      </c>
    </row>
    <row r="71">
      <c r="A71" t="inlineStr">
        <is>
          <t>midsummer</t>
        </is>
      </c>
      <c r="B71" t="inlineStr">
        <is>
          <t>SE</t>
        </is>
      </c>
      <c r="C71" t="inlineStr">
        <is>
          <t>Flen Municipality</t>
        </is>
      </c>
      <c r="D71" t="inlineStr">
        <is>
          <t>solar</t>
        </is>
      </c>
      <c r="E71" t="inlineStr">
        <is>
          <t>cell</t>
        </is>
      </c>
      <c r="F71" t="n">
        <v>1</v>
      </c>
      <c r="G71" t="inlineStr">
        <is>
          <t>announced</t>
        </is>
      </c>
      <c r="H71" t="n">
        <v>0.2</v>
      </c>
      <c r="I71" t="n">
        <v>0.2</v>
      </c>
      <c r="J71" t="n">
        <v>32300000</v>
      </c>
      <c r="K71" t="n">
        <v>32300000</v>
      </c>
      <c r="L71" t="b">
        <v>0</v>
      </c>
      <c r="M71" t="inlineStr">
        <is>
          <t>2024-04</t>
        </is>
      </c>
      <c r="N71" t="inlineStr"/>
      <c r="O71" t="inlineStr"/>
      <c r="P71" t="b">
        <v>0</v>
      </c>
      <c r="Q71" t="b">
        <v>0</v>
      </c>
      <c r="R71" t="b">
        <v>0</v>
      </c>
      <c r="S71">
        <f>HYPERLINK("https://www.pv-tech.org/midsummer-inks-mou-for-200mw-solar-cell-manuafcturing-plant-in-thailand/", "source")</f>
        <v/>
      </c>
      <c r="T71">
        <f>HYPERLINK("https://www.pv-tech.org/midsummer-inks-mou-for-200mw-solar-cell-manuafcturing-plant-in-thailand/", "source")</f>
        <v/>
      </c>
      <c r="U71">
        <f>HYPERLINK("https://www.pv-magazine.com/2024/04/29/midsummer-builds-200-mw-cigs-solar-module-factory-in-southeastern-sweden/", "source")</f>
        <v/>
      </c>
      <c r="V71">
        <f>HYPERLINK("https://www.pv-magazine.com/2024/04/29/midsummer-builds-200-mw-cigs-solar-module-factory-in-southeastern-sweden/", "source")</f>
        <v/>
      </c>
      <c r="W71" t="inlineStr"/>
      <c r="X71" t="inlineStr"/>
      <c r="Y71" t="inlineStr">
        <is>
          <t>b336a0d9-b161-5db8-b2be-634e227dc1ec</t>
        </is>
      </c>
    </row>
    <row r="72">
      <c r="A72" t="inlineStr">
        <is>
          <t>midsummer</t>
        </is>
      </c>
      <c r="B72" t="inlineStr">
        <is>
          <t>SE</t>
        </is>
      </c>
      <c r="C72" t="inlineStr">
        <is>
          <t>Stockholm Municipality</t>
        </is>
      </c>
      <c r="D72" t="inlineStr">
        <is>
          <t>solar</t>
        </is>
      </c>
      <c r="E72" t="inlineStr">
        <is>
          <t>module</t>
        </is>
      </c>
      <c r="F72" t="n">
        <v>1</v>
      </c>
      <c r="G72" t="inlineStr">
        <is>
          <t>announced</t>
        </is>
      </c>
      <c r="H72" t="n">
        <v>0.2</v>
      </c>
      <c r="I72" t="n">
        <v>0.2</v>
      </c>
      <c r="J72" t="n">
        <v>16600000</v>
      </c>
      <c r="K72" t="n">
        <v>16600000</v>
      </c>
      <c r="L72" t="b">
        <v>1</v>
      </c>
      <c r="M72" t="inlineStr">
        <is>
          <t>2023-07</t>
        </is>
      </c>
      <c r="N72" t="inlineStr"/>
      <c r="O72" t="inlineStr"/>
      <c r="P72" t="b">
        <v>0</v>
      </c>
      <c r="Q72" t="b">
        <v>0</v>
      </c>
      <c r="R72" t="b">
        <v>0</v>
      </c>
      <c r="S72">
        <f>HYPERLINK("https://www.pv-magazine.com/2023/07/17/european-solar-manufacturers-secure-eu-financial-support/", "source")</f>
        <v/>
      </c>
      <c r="T72">
        <f>HYPERLINK("https://www.pv-magazine.com/2023/07/17/european-solar-manufacturers-secure-eu-financial-support/", "source")</f>
        <v/>
      </c>
      <c r="U72">
        <f>HYPERLINK("https://www.pv-magazine.com/2023/07/17/european-solar-manufacturers-secure-eu-financial-support/", "source")</f>
        <v/>
      </c>
      <c r="V72">
        <f>HYPERLINK("https://www.pv-magazine.com/2023/07/17/european-solar-manufacturers-secure-eu-financial-support/", "source")</f>
        <v/>
      </c>
      <c r="W72" t="inlineStr"/>
      <c r="X72" t="inlineStr"/>
      <c r="Y72" t="inlineStr">
        <is>
          <t>77bff34a-413f-5511-839b-1179764e0277</t>
        </is>
      </c>
    </row>
    <row r="73">
      <c r="A73" t="inlineStr">
        <is>
          <t>new time</t>
        </is>
      </c>
      <c r="B73" t="inlineStr">
        <is>
          <t>IT</t>
        </is>
      </c>
      <c r="C73" t="inlineStr">
        <is>
          <t>Emilia-Romagna</t>
        </is>
      </c>
      <c r="D73" t="inlineStr">
        <is>
          <t>solar</t>
        </is>
      </c>
      <c r="E73" t="inlineStr">
        <is>
          <t>module</t>
        </is>
      </c>
      <c r="F73" t="n">
        <v>1</v>
      </c>
      <c r="G73" t="inlineStr">
        <is>
          <t>announced</t>
        </is>
      </c>
      <c r="H73" t="n">
        <v>1</v>
      </c>
      <c r="I73" t="n">
        <v>1</v>
      </c>
      <c r="J73" t="n">
        <v>83000000</v>
      </c>
      <c r="K73" t="n">
        <v>83000000</v>
      </c>
      <c r="L73" t="b">
        <v>1</v>
      </c>
      <c r="M73" t="inlineStr">
        <is>
          <t>2025-08</t>
        </is>
      </c>
      <c r="N73" t="inlineStr"/>
      <c r="O73" t="inlineStr"/>
      <c r="P73" t="b">
        <v>0</v>
      </c>
      <c r="Q73" t="b">
        <v>0</v>
      </c>
      <c r="R73" t="b">
        <v>0</v>
      </c>
      <c r="S73">
        <f>HYPERLINK("https://taiyangnews.info/markets/huasun-new-time-plan-1-gw-hjt-perovskite-factory-in-italy", "source")</f>
        <v/>
      </c>
      <c r="T73">
        <f>HYPERLINK("https://taiyangnews.info/markets/huasun-new-time-plan-1-gw-hjt-perovskite-factory-in-italy", "source")</f>
        <v/>
      </c>
      <c r="U73">
        <f>HYPERLINK("https://taiyangnews.info/markets/huasun-new-time-plan-1-gw-hjt-perovskite-factory-in-italy", "source")</f>
        <v/>
      </c>
      <c r="V73">
        <f>HYPERLINK("https://taiyangnews.info/markets/huasun-new-time-plan-1-gw-hjt-perovskite-factory-in-italy", "source")</f>
        <v/>
      </c>
      <c r="W73" t="inlineStr"/>
      <c r="X73" t="inlineStr"/>
      <c r="Y73" t="inlineStr">
        <is>
          <t>c14a67fc-af2a-5848-99a6-705180f0c15e</t>
        </is>
      </c>
    </row>
    <row r="74">
      <c r="A74" t="inlineStr">
        <is>
          <t>nexwafe</t>
        </is>
      </c>
      <c r="B74" t="inlineStr">
        <is>
          <t>DE</t>
        </is>
      </c>
      <c r="C74" t="inlineStr">
        <is>
          <t>Bitterfeld-Wolfen</t>
        </is>
      </c>
      <c r="D74" t="inlineStr">
        <is>
          <t>solar</t>
        </is>
      </c>
      <c r="E74" t="inlineStr">
        <is>
          <t>ingot_wafer</t>
        </is>
      </c>
      <c r="F74" t="n">
        <v>1</v>
      </c>
      <c r="G74" t="inlineStr">
        <is>
          <t>under construction</t>
        </is>
      </c>
      <c r="H74" t="n">
        <v>0.25</v>
      </c>
      <c r="I74" t="n">
        <v>0.25</v>
      </c>
      <c r="J74" t="n">
        <v>70000000</v>
      </c>
      <c r="K74" t="n">
        <v>70000000</v>
      </c>
      <c r="L74" t="b">
        <v>0</v>
      </c>
      <c r="M74" t="inlineStr">
        <is>
          <t>2023-10</t>
        </is>
      </c>
      <c r="N74" t="inlineStr">
        <is>
          <t>2023-10</t>
        </is>
      </c>
      <c r="O74" t="inlineStr">
        <is>
          <t>2026-10</t>
        </is>
      </c>
      <c r="P74" t="b">
        <v>0</v>
      </c>
      <c r="Q74" t="b">
        <v>0</v>
      </c>
      <c r="R74" t="b">
        <v>1</v>
      </c>
      <c r="S74">
        <f>HYPERLINK("https://www.nexwafe.com/news/nexwafe-groundbreaking-in-bitterfeld-signals-return-of-upstream-pv-supply-chain-to-germany", "source")</f>
        <v/>
      </c>
      <c r="T74">
        <f>HYPERLINK("https://www.nexwafe.com/news/nexwafe-groundbreaking-in-bitterfeld-signals-return-of-upstream-pv-supply-chain-to-germany", "source")</f>
        <v/>
      </c>
      <c r="U74">
        <f>HYPERLINK("https://www.nexwafe.com/news/nexwafe-groundbreaking-in-bitterfeld-signals-return-of-upstream-pv-supply-chain-to-germany", "source")</f>
        <v/>
      </c>
      <c r="V74">
        <f>HYPERLINK("https://www.nexwafe.com/news/nexwafe-groundbreaking-in-bitterfeld-signals-return-of-upstream-pv-supply-chain-to-germany", "source")</f>
        <v/>
      </c>
      <c r="W74">
        <f>HYPERLINK("https://www.nexwafe.com/news/nexwafe-groundbreaking-in-bitterfeld-signals-return-of-upstream-pv-supply-chain-to-germany", "source")</f>
        <v/>
      </c>
      <c r="X74" t="inlineStr"/>
      <c r="Y74" t="inlineStr">
        <is>
          <t>0c441016-39b8-5975-802e-947fc2968585</t>
        </is>
      </c>
    </row>
    <row r="75">
      <c r="A75" t="inlineStr">
        <is>
          <t>nexwafe</t>
        </is>
      </c>
      <c r="B75" t="inlineStr">
        <is>
          <t>DE</t>
        </is>
      </c>
      <c r="C75" t="inlineStr">
        <is>
          <t>Bitterfeld-Wolfen</t>
        </is>
      </c>
      <c r="D75" t="inlineStr">
        <is>
          <t>solar</t>
        </is>
      </c>
      <c r="E75" t="inlineStr">
        <is>
          <t>ingot_wafer</t>
        </is>
      </c>
      <c r="F75" t="n">
        <v>2</v>
      </c>
      <c r="G75" t="inlineStr">
        <is>
          <t>announced</t>
        </is>
      </c>
      <c r="H75" t="n">
        <v>2.75</v>
      </c>
      <c r="I75" t="n">
        <v>3</v>
      </c>
      <c r="J75" t="n">
        <v>230000000</v>
      </c>
      <c r="K75" t="n">
        <v>300000000</v>
      </c>
      <c r="L75" t="b">
        <v>0</v>
      </c>
      <c r="M75" t="inlineStr">
        <is>
          <t>2022-04</t>
        </is>
      </c>
      <c r="N75" t="inlineStr"/>
      <c r="O75" t="inlineStr"/>
      <c r="P75" t="b">
        <v>0</v>
      </c>
      <c r="Q75" t="b">
        <v>0</v>
      </c>
      <c r="R75" t="b">
        <v>0</v>
      </c>
      <c r="S75">
        <f>HYPERLINK("https://www.nexwafe.com/news/nexwafe-groundbreaking-in-bitterfeld-signals-return-of-upstream-pv-supply-chain-to-germany", "source")</f>
        <v/>
      </c>
      <c r="T75">
        <f>HYPERLINK("https://www.nexwafe.com/news/nexwafe-groundbreaking-in-bitterfeld-signals-return-of-upstream-pv-supply-chain-to-germany", "source")</f>
        <v/>
      </c>
      <c r="U75">
        <f>HYPERLINK("https://www.nexwafe.com/news/nexwafe-groundbreaking-in-bitterfeld-signals-return-of-upstream-pv-supply-chain-to-germany", "source")</f>
        <v/>
      </c>
      <c r="V75">
        <f>HYPERLINK("https://www.pv-magazine.com/2022/04/09/the-weekend-read-plans-for-a-fully-fledged-european-pv-supply-chain/", "source")</f>
        <v/>
      </c>
      <c r="W75" t="inlineStr"/>
      <c r="X75" t="inlineStr"/>
      <c r="Y75" t="inlineStr">
        <is>
          <t>0c441016-39b8-5975-802e-947fc2968585</t>
        </is>
      </c>
    </row>
    <row r="76">
      <c r="A76" t="inlineStr">
        <is>
          <t>norsun</t>
        </is>
      </c>
      <c r="B76" t="inlineStr">
        <is>
          <t>NO</t>
        </is>
      </c>
      <c r="C76" t="inlineStr">
        <is>
          <t>Vestland</t>
        </is>
      </c>
      <c r="D76" t="inlineStr">
        <is>
          <t>solar</t>
        </is>
      </c>
      <c r="E76" t="inlineStr">
        <is>
          <t>ingot_wafer, wafer</t>
        </is>
      </c>
      <c r="F76" t="n">
        <v>1</v>
      </c>
      <c r="G76" t="inlineStr">
        <is>
          <t>operational</t>
        </is>
      </c>
      <c r="H76" t="n">
        <v>1</v>
      </c>
      <c r="I76" t="n">
        <v>1</v>
      </c>
      <c r="J76" t="n">
        <v>7865070</v>
      </c>
      <c r="K76" t="n">
        <v>7865070</v>
      </c>
      <c r="L76" t="b">
        <v>0</v>
      </c>
      <c r="M76" t="inlineStr">
        <is>
          <t>2024-03</t>
        </is>
      </c>
      <c r="N76" t="inlineStr">
        <is>
          <t>2024-03</t>
        </is>
      </c>
      <c r="O76" t="inlineStr">
        <is>
          <t>2023-08</t>
        </is>
      </c>
      <c r="P76" t="b">
        <v>0</v>
      </c>
      <c r="Q76" t="b">
        <v>1</v>
      </c>
      <c r="R76" t="b">
        <v>0</v>
      </c>
      <c r="S76">
        <f>HYPERLINK("https://www.pv-magazine.com/2023/08/17/norsun-readies-for-growth-with-8-5-million-financing-round/", "source")</f>
        <v/>
      </c>
      <c r="T76">
        <f>HYPERLINK("https://www.pv-magazine.com/2023/08/17/norsun-readies-for-growth-with-8-5-million-financing-round/", "source")</f>
        <v/>
      </c>
      <c r="U76">
        <f>HYPERLINK("https://www.pv-magazine.com/2024/03/02/weekend-read-thin-prospects/", "source")</f>
        <v/>
      </c>
      <c r="V76">
        <f>HYPERLINK("https://www.pv-magazine.com/2024/03/02/weekend-read-thin-prospects/", "source")</f>
        <v/>
      </c>
      <c r="W76" t="inlineStr"/>
      <c r="X76">
        <f>HYPERLINK("https://www.pv-magazine.com/2023/08/17/norsun-readies-for-growth-with-8-5-million-financing-round/", "source")</f>
        <v/>
      </c>
      <c r="Y76" t="inlineStr">
        <is>
          <t>50a7872e-b1b3-5626-8349-5ebdb7fa0145</t>
        </is>
      </c>
    </row>
    <row r="77">
      <c r="A77" t="inlineStr">
        <is>
          <t>norsun</t>
        </is>
      </c>
      <c r="B77" t="inlineStr">
        <is>
          <t>NO</t>
        </is>
      </c>
      <c r="C77" t="inlineStr">
        <is>
          <t>Vestland</t>
        </is>
      </c>
      <c r="D77" t="inlineStr">
        <is>
          <t>solar</t>
        </is>
      </c>
      <c r="E77" t="inlineStr">
        <is>
          <t>ingot_wafer, wafer</t>
        </is>
      </c>
      <c r="F77" t="n">
        <v>2</v>
      </c>
      <c r="G77" t="inlineStr">
        <is>
          <t>announced</t>
        </is>
      </c>
      <c r="H77" t="n">
        <v>2</v>
      </c>
      <c r="I77" t="n">
        <v>3</v>
      </c>
      <c r="J77" t="n">
        <v>46134930</v>
      </c>
      <c r="K77" t="n">
        <v>54000000</v>
      </c>
      <c r="L77" t="b">
        <v>0</v>
      </c>
      <c r="M77" t="inlineStr">
        <is>
          <t>2019-06</t>
        </is>
      </c>
      <c r="N77" t="inlineStr"/>
      <c r="O77" t="inlineStr"/>
      <c r="P77" t="b">
        <v>0</v>
      </c>
      <c r="Q77" t="b">
        <v>0</v>
      </c>
      <c r="R77" t="b">
        <v>0</v>
      </c>
      <c r="S77">
        <f>HYPERLINK("https://www.pv-magazine.com/2023/08/17/norsun-readies-for-growth-with-8-5-million-financing-round/", "source")</f>
        <v/>
      </c>
      <c r="T77">
        <f>HYPERLINK("https://www.pv-magazine.com/2023/08/17/norsun-readies-for-growth-with-8-5-million-financing-round/", "source")</f>
        <v/>
      </c>
      <c r="U77">
        <f>HYPERLINK("https://www.pv-tech.org/meyer-burger-secures-e200-million-from-eu-innovation-fund-among-others/", "source")</f>
        <v/>
      </c>
      <c r="V77">
        <f>HYPERLINK("https://www.pv-magazine.com/2019/06/13/norwegian-wafer-maker-and-us-mounting-system-supplier-join-the-solar-gold-rush/", "source")</f>
        <v/>
      </c>
      <c r="W77" t="inlineStr"/>
      <c r="X77" t="inlineStr"/>
      <c r="Y77" t="inlineStr">
        <is>
          <t>50a7872e-b1b3-5626-8349-5ebdb7fa0145</t>
        </is>
      </c>
    </row>
    <row r="78">
      <c r="A78" t="inlineStr">
        <is>
          <t>organic electronics technologies</t>
        </is>
      </c>
      <c r="B78" t="inlineStr">
        <is>
          <t>GR</t>
        </is>
      </c>
      <c r="C78" t="inlineStr">
        <is>
          <t>Central Macedonia</t>
        </is>
      </c>
      <c r="D78" t="inlineStr">
        <is>
          <t>solar</t>
        </is>
      </c>
      <c r="E78" t="inlineStr">
        <is>
          <t>cell</t>
        </is>
      </c>
      <c r="F78" t="n">
        <v>1</v>
      </c>
      <c r="G78" t="inlineStr">
        <is>
          <t>announced</t>
        </is>
      </c>
      <c r="H78" t="inlineStr"/>
      <c r="I78" t="inlineStr"/>
      <c r="J78" t="n">
        <v>21200000</v>
      </c>
      <c r="K78" t="n">
        <v>21200000</v>
      </c>
      <c r="L78" t="b">
        <v>0</v>
      </c>
      <c r="M78" t="inlineStr">
        <is>
          <t>2023-01</t>
        </is>
      </c>
      <c r="N78" t="inlineStr"/>
      <c r="O78" t="inlineStr"/>
      <c r="P78" t="b">
        <v>0</v>
      </c>
      <c r="Q78" t="b">
        <v>0</v>
      </c>
      <c r="R78" t="b">
        <v>0</v>
      </c>
      <c r="S78">
        <f>HYPERLINK("https://www.pv-magazine.com/2023/01/27/greek-startup-to-open-organic-solar-cell-factory/", "source")</f>
        <v/>
      </c>
      <c r="T78">
        <f>HYPERLINK("https://www.pv-magazine.com/2023/01/27/greek-startup-to-open-organic-solar-cell-factory/", "source")</f>
        <v/>
      </c>
      <c r="U78">
        <f>HYPERLINK("https://www.pv-magazine.com/2023/01/27/greek-startup-to-open-organic-solar-cell-factory/", "source")</f>
        <v/>
      </c>
      <c r="V78">
        <f>HYPERLINK("https://www.pv-magazine.com/2023/01/27/greek-startup-to-open-organic-solar-cell-factory/", "source")</f>
        <v/>
      </c>
      <c r="W78" t="inlineStr"/>
      <c r="X78" t="inlineStr"/>
      <c r="Y78" t="inlineStr">
        <is>
          <t>1e7b628c-a8a1-599d-a51b-871f74ccbaa7</t>
        </is>
      </c>
    </row>
    <row r="79">
      <c r="A79" t="inlineStr">
        <is>
          <t>oxford pv</t>
        </is>
      </c>
      <c r="B79" t="inlineStr">
        <is>
          <t>DE</t>
        </is>
      </c>
      <c r="C79" t="inlineStr">
        <is>
          <t>Brandenburg</t>
        </is>
      </c>
      <c r="D79" t="inlineStr">
        <is>
          <t>solar</t>
        </is>
      </c>
      <c r="E79" t="inlineStr">
        <is>
          <t>cell, module</t>
        </is>
      </c>
      <c r="F79" t="n">
        <v>1</v>
      </c>
      <c r="G79" t="inlineStr">
        <is>
          <t>operational</t>
        </is>
      </c>
      <c r="H79" t="n">
        <v>0.1</v>
      </c>
      <c r="I79" t="n">
        <v>0.1</v>
      </c>
      <c r="J79" t="n">
        <v>8300000</v>
      </c>
      <c r="K79" t="n">
        <v>8300000</v>
      </c>
      <c r="L79" t="b">
        <v>1</v>
      </c>
      <c r="M79" t="inlineStr">
        <is>
          <t>2021-07</t>
        </is>
      </c>
      <c r="N79" t="inlineStr">
        <is>
          <t>2021-07</t>
        </is>
      </c>
      <c r="O79" t="inlineStr">
        <is>
          <t>2024-09</t>
        </is>
      </c>
      <c r="P79" t="b">
        <v>0</v>
      </c>
      <c r="Q79" t="b">
        <v>0</v>
      </c>
      <c r="R79" t="b">
        <v>0</v>
      </c>
      <c r="S79">
        <f>HYPERLINK("https://www.pv-tech.org/oxford-pv-ships-first-commercial-perovskite-tandem-modules/", "source")</f>
        <v/>
      </c>
      <c r="T79">
        <f>HYPERLINK("https://www.pv-tech.org/oxford-pv-ships-first-commercial-perovskite-tandem-modules/", "source")</f>
        <v/>
      </c>
      <c r="U79">
        <f>HYPERLINK("https://www.pv-tech.org/oxford-pv-ships-first-commercial-perovskite-tandem-modules/", "source")</f>
        <v/>
      </c>
      <c r="V79">
        <f>HYPERLINK("https://www.pv-magazine.com/2021/07/26/meyer-burger-considers-legal-action-as-oxford-pv-unilaterally-terminates-exclusive-cooperation/", "source")</f>
        <v/>
      </c>
      <c r="W79">
        <f>HYPERLINK("https://www.pv-magazine.com/2021/07/26/meyer-burger-considers-legal-action-as-oxford-pv-unilaterally-terminates-exclusive-cooperation/", "source")</f>
        <v/>
      </c>
      <c r="X79">
        <f>HYPERLINK("https://www.pv-tech.org/oxford-pv-ships-first-commercial-perovskite-tandem-modules/", "source")</f>
        <v/>
      </c>
      <c r="Y79" t="inlineStr">
        <is>
          <t>616f7a6a-e5c4-571f-a41c-9c7db3bb95ae</t>
        </is>
      </c>
    </row>
    <row r="80">
      <c r="A80" t="inlineStr">
        <is>
          <t>photowatt</t>
        </is>
      </c>
      <c r="B80" t="inlineStr">
        <is>
          <t>FR</t>
        </is>
      </c>
      <c r="C80" t="inlineStr">
        <is>
          <t>Bourgoin-Jallieu</t>
        </is>
      </c>
      <c r="D80" t="inlineStr">
        <is>
          <t>solar</t>
        </is>
      </c>
      <c r="E80" t="inlineStr">
        <is>
          <t>ingot_wafer, module</t>
        </is>
      </c>
      <c r="F80" t="n">
        <v>1</v>
      </c>
      <c r="G80" t="inlineStr">
        <is>
          <t>operational</t>
        </is>
      </c>
      <c r="H80" t="n">
        <v>0.2</v>
      </c>
      <c r="I80" t="n">
        <v>0.2</v>
      </c>
      <c r="J80" t="n">
        <v>16200000</v>
      </c>
      <c r="K80" t="n">
        <v>16200000</v>
      </c>
      <c r="L80" t="b">
        <v>1</v>
      </c>
      <c r="M80" t="inlineStr">
        <is>
          <t>2019-05</t>
        </is>
      </c>
      <c r="N80" t="inlineStr">
        <is>
          <t>2019-05</t>
        </is>
      </c>
      <c r="O80" t="inlineStr">
        <is>
          <t>2022-05</t>
        </is>
      </c>
      <c r="P80" t="b">
        <v>1</v>
      </c>
      <c r="Q80" t="b">
        <v>1</v>
      </c>
      <c r="R80" t="b">
        <v>0</v>
      </c>
      <c r="S80">
        <f>HYPERLINK("https://www.pv-magazine.com/2025/01/28/edf-shuts-down-photowatt-solar-manufacturing-unit/", "source")</f>
        <v/>
      </c>
      <c r="T80">
        <f>HYPERLINK("https://www.pv-magazine.com/2025/01/28/edf-shuts-down-photowatt-solar-manufacturing-unit/", "source")</f>
        <v/>
      </c>
      <c r="U80">
        <f>HYPERLINK("https://www.pv-magazine.com/2025/01/28/edf-shuts-down-photowatt-solar-manufacturing-unit/", "source")</f>
        <v/>
      </c>
      <c r="V80" t="inlineStr"/>
      <c r="W80" t="inlineStr"/>
      <c r="X80">
        <f>HYPERLINK("https://www.pv-magazine.com/2022/05/16/photowatt-unveils-g12-solar-modules/", "source")</f>
        <v/>
      </c>
      <c r="Y80" t="inlineStr">
        <is>
          <t>beaf70e4-8ba7-56b9-a9b2-dd62c5b7cedb</t>
        </is>
      </c>
    </row>
    <row r="81">
      <c r="A81" t="inlineStr">
        <is>
          <t>photowatt</t>
        </is>
      </c>
      <c r="B81" t="inlineStr">
        <is>
          <t>FR</t>
        </is>
      </c>
      <c r="C81" t="inlineStr">
        <is>
          <t>Bourgoin-Jallieu</t>
        </is>
      </c>
      <c r="D81" t="inlineStr">
        <is>
          <t>solar</t>
        </is>
      </c>
      <c r="E81" t="inlineStr">
        <is>
          <t>ingot_wafer, module</t>
        </is>
      </c>
      <c r="F81" t="n">
        <v>2</v>
      </c>
      <c r="G81" t="inlineStr">
        <is>
          <t>announced</t>
        </is>
      </c>
      <c r="H81" t="n">
        <v>0.3</v>
      </c>
      <c r="I81" t="n">
        <v>0.5</v>
      </c>
      <c r="J81" t="n">
        <v>40000000</v>
      </c>
      <c r="K81" t="n">
        <v>56200000</v>
      </c>
      <c r="L81" t="b">
        <v>0</v>
      </c>
      <c r="M81" t="inlineStr">
        <is>
          <t>2024-09</t>
        </is>
      </c>
      <c r="N81" t="inlineStr"/>
      <c r="O81" t="inlineStr"/>
      <c r="P81" t="b">
        <v>0</v>
      </c>
      <c r="Q81" t="b">
        <v>0</v>
      </c>
      <c r="R81" t="b">
        <v>0</v>
      </c>
      <c r="S81">
        <f>HYPERLINK("https://www.pv-magazine.com/2024/09/23/carbon-acquires-photowatt/", "source")</f>
        <v/>
      </c>
      <c r="T81">
        <f>HYPERLINK("https://www.pv-magazine.com/2024/09/23/carbon-acquires-photowatt/", "source")</f>
        <v/>
      </c>
      <c r="U81">
        <f>HYPERLINK("https://www.pv-magazine.com/2024/09/23/carbon-acquires-photowatt/", "source")</f>
        <v/>
      </c>
      <c r="V81">
        <f>HYPERLINK("https://www.pv-magazine.com/2024/09/23/carbon-acquires-photowatt/", "source")</f>
        <v/>
      </c>
      <c r="W81" t="inlineStr"/>
      <c r="X81" t="inlineStr"/>
      <c r="Y81" t="inlineStr">
        <is>
          <t>beaf70e4-8ba7-56b9-a9b2-dd62c5b7cedb</t>
        </is>
      </c>
    </row>
    <row r="82">
      <c r="A82" t="inlineStr">
        <is>
          <t>pzl sedziszow</t>
        </is>
      </c>
      <c r="B82" t="inlineStr">
        <is>
          <t>PL</t>
        </is>
      </c>
      <c r="C82" t="inlineStr">
        <is>
          <t>Gmina Sędziszów Małopolski</t>
        </is>
      </c>
      <c r="D82" t="inlineStr">
        <is>
          <t>solar</t>
        </is>
      </c>
      <c r="E82" t="inlineStr">
        <is>
          <t>module</t>
        </is>
      </c>
      <c r="F82" t="n">
        <v>1</v>
      </c>
      <c r="G82" t="inlineStr">
        <is>
          <t>operational</t>
        </is>
      </c>
      <c r="H82" t="n">
        <v>0.015</v>
      </c>
      <c r="I82" t="n">
        <v>0.015</v>
      </c>
      <c r="J82" t="n">
        <v>500000</v>
      </c>
      <c r="K82" t="n">
        <v>500000</v>
      </c>
      <c r="L82" t="b">
        <v>0</v>
      </c>
      <c r="M82" t="inlineStr">
        <is>
          <t>2018-08</t>
        </is>
      </c>
      <c r="N82" t="inlineStr">
        <is>
          <t>2018-08</t>
        </is>
      </c>
      <c r="O82" t="inlineStr">
        <is>
          <t>2021-08</t>
        </is>
      </c>
      <c r="P82" t="b">
        <v>1</v>
      </c>
      <c r="Q82" t="b">
        <v>1</v>
      </c>
      <c r="R82" t="b">
        <v>0</v>
      </c>
      <c r="S82">
        <f>HYPERLINK("https://www.unimot.pl/en/news/the-unimot-group-has-launched-production-line-of-polish-photovoltaic-modules", "source")</f>
        <v/>
      </c>
      <c r="T82">
        <f>HYPERLINK("https://www.unimot.pl/en/news/the-unimot-group-has-launched-production-line-of-polish-photovoltaic-modules", "source")</f>
        <v/>
      </c>
      <c r="U82">
        <f>HYPERLINK("https://www.unimot.pl/en/news/the-unimot-group-has-launched-production-line-of-polish-photovoltaic-modules", "source")</f>
        <v/>
      </c>
      <c r="V82" t="inlineStr"/>
      <c r="W82" t="inlineStr"/>
      <c r="X82">
        <f>HYPERLINK("https://www.unimot.pl/en/news/the-unimot-group-has-launched-production-line-of-polish-photovoltaic-modules", "source")</f>
        <v/>
      </c>
      <c r="Y82" t="inlineStr">
        <is>
          <t>6538e6f6-e7f0-5014-8dc0-800b2ebd96f3</t>
        </is>
      </c>
    </row>
    <row r="83">
      <c r="A83" t="inlineStr">
        <is>
          <t>rec</t>
        </is>
      </c>
      <c r="B83" t="inlineStr">
        <is>
          <t>FR</t>
        </is>
      </c>
      <c r="C83" t="inlineStr">
        <is>
          <t>Hambach</t>
        </is>
      </c>
      <c r="D83" t="inlineStr">
        <is>
          <t>solar</t>
        </is>
      </c>
      <c r="E83" t="inlineStr">
        <is>
          <t>module</t>
        </is>
      </c>
      <c r="F83" t="n">
        <v>1</v>
      </c>
      <c r="G83" t="inlineStr">
        <is>
          <t>cancelled</t>
        </is>
      </c>
      <c r="H83" t="n">
        <v>2</v>
      </c>
      <c r="I83" t="n">
        <v>2</v>
      </c>
      <c r="J83" t="n">
        <v>680000000</v>
      </c>
      <c r="K83" t="n">
        <v>680000000</v>
      </c>
      <c r="L83" t="b">
        <v>0</v>
      </c>
      <c r="M83" t="inlineStr">
        <is>
          <t>2022-12</t>
        </is>
      </c>
      <c r="N83" t="inlineStr"/>
      <c r="O83" t="inlineStr"/>
      <c r="P83" t="b">
        <v>0</v>
      </c>
      <c r="Q83" t="b">
        <v>0</v>
      </c>
      <c r="R83" t="b">
        <v>0</v>
      </c>
      <c r="S83">
        <f>HYPERLINK("https://www.pv-magazine.com/2022/12/05/rec-scraps-plan-to-build-4-gw-solar-module-factory-in-france/", "source")</f>
        <v/>
      </c>
      <c r="T83">
        <f>HYPERLINK("https://www.pv-magazine.com/2022/12/05/rec-scraps-plan-to-build-4-gw-solar-module-factory-in-france/", "source")</f>
        <v/>
      </c>
      <c r="U83">
        <f>HYPERLINK("https://www.pv-magazine.com/2022/12/05/rec-scraps-plan-to-build-4-gw-solar-module-factory-in-france/", "source")</f>
        <v/>
      </c>
      <c r="V83">
        <f>HYPERLINK("https://www.pv-magazine.com/2022/12/05/rec-scraps-plan-to-build-4-gw-solar-module-factory-in-france/", "source")</f>
        <v/>
      </c>
      <c r="W83" t="inlineStr"/>
      <c r="X83" t="inlineStr"/>
      <c r="Y83" t="inlineStr">
        <is>
          <t>9e367c5c-5b81-5387-a2a2-8407b2b62481</t>
        </is>
      </c>
    </row>
    <row r="84">
      <c r="A84" t="inlineStr">
        <is>
          <t>rec solar</t>
        </is>
      </c>
      <c r="B84" t="inlineStr">
        <is>
          <t>FR</t>
        </is>
      </c>
      <c r="C84" t="inlineStr">
        <is>
          <t>Sarreguemines</t>
        </is>
      </c>
      <c r="D84" t="inlineStr">
        <is>
          <t>solar</t>
        </is>
      </c>
      <c r="E84" t="inlineStr">
        <is>
          <t>module</t>
        </is>
      </c>
      <c r="F84" t="n">
        <v>1</v>
      </c>
      <c r="G84" t="inlineStr">
        <is>
          <t>announced</t>
        </is>
      </c>
      <c r="H84" t="n">
        <v>2</v>
      </c>
      <c r="I84" t="n">
        <v>2</v>
      </c>
      <c r="J84" t="n">
        <v>166000000</v>
      </c>
      <c r="K84" t="n">
        <v>166000000</v>
      </c>
      <c r="L84" t="b">
        <v>1</v>
      </c>
      <c r="M84" t="inlineStr">
        <is>
          <t>2022-07</t>
        </is>
      </c>
      <c r="N84" t="inlineStr"/>
      <c r="O84" t="inlineStr"/>
      <c r="P84" t="b">
        <v>0</v>
      </c>
      <c r="Q84" t="b">
        <v>0</v>
      </c>
      <c r="R84" t="b">
        <v>0</v>
      </c>
      <c r="S84">
        <f>HYPERLINK("https://www.pv-tech.org/rec-solar-wins-eu-grant-to-build-2gw-hjt-plant-in-france/", "source")</f>
        <v/>
      </c>
      <c r="T84">
        <f>HYPERLINK("https://www.pv-tech.org/rec-solar-wins-eu-grant-to-build-2gw-hjt-plant-in-france/", "source")</f>
        <v/>
      </c>
      <c r="U84">
        <f>HYPERLINK("https://www.pv-tech.org/rec-solar-wins-eu-grant-to-build-2gw-hjt-plant-in-france/", "source")</f>
        <v/>
      </c>
      <c r="V84">
        <f>HYPERLINK("https://www.pv-tech.org/rec-solar-wins-eu-grant-to-build-2gw-hjt-plant-in-france/", "source")</f>
        <v/>
      </c>
      <c r="W84" t="inlineStr"/>
      <c r="X84" t="inlineStr"/>
      <c r="Y84" t="inlineStr">
        <is>
          <t>dbb87928-81d0-5f33-acd5-0e535d800b8e</t>
        </is>
      </c>
    </row>
    <row r="85">
      <c r="A85" t="inlineStr">
        <is>
          <t>recom sillia</t>
        </is>
      </c>
      <c r="B85" t="inlineStr">
        <is>
          <t>FR</t>
        </is>
      </c>
      <c r="C85" t="inlineStr">
        <is>
          <t>Lannion</t>
        </is>
      </c>
      <c r="D85" t="inlineStr">
        <is>
          <t>solar</t>
        </is>
      </c>
      <c r="E85" t="inlineStr">
        <is>
          <t>module</t>
        </is>
      </c>
      <c r="F85" t="n">
        <v>1</v>
      </c>
      <c r="G85" t="inlineStr">
        <is>
          <t>operational</t>
        </is>
      </c>
      <c r="H85" t="n">
        <v>0.05</v>
      </c>
      <c r="I85" t="n">
        <v>0.05</v>
      </c>
      <c r="J85" t="n">
        <v>30000000</v>
      </c>
      <c r="K85" t="n">
        <v>30000000</v>
      </c>
      <c r="L85" t="b">
        <v>0</v>
      </c>
      <c r="M85" t="inlineStr">
        <is>
          <t>2021-05</t>
        </is>
      </c>
      <c r="N85" t="inlineStr">
        <is>
          <t>2021-05</t>
        </is>
      </c>
      <c r="O85" t="inlineStr">
        <is>
          <t>2024-05</t>
        </is>
      </c>
      <c r="P85" t="b">
        <v>1</v>
      </c>
      <c r="Q85" t="b">
        <v>1</v>
      </c>
      <c r="R85" t="b">
        <v>0</v>
      </c>
      <c r="S85">
        <f>HYPERLINK("https://www.pv-magazine.com/2024/05/10/french-solar-module-maker-recom-sillia-to-close/", "source")</f>
        <v/>
      </c>
      <c r="T85">
        <f>HYPERLINK("https://www.pv-magazine.com/2024/05/10/french-solar-module-maker-recom-sillia-to-close/", "source")</f>
        <v/>
      </c>
      <c r="U85">
        <f>HYPERLINK("https://www.pv-magazine.com/2024/05/10/french-solar-module-maker-recom-sillia-to-close/", "source")</f>
        <v/>
      </c>
      <c r="V85" t="inlineStr"/>
      <c r="W85" t="inlineStr"/>
      <c r="X85">
        <f>HYPERLINK("https://www.pv-magazine.com/2024/05/10/french-solar-module-maker-recom-sillia-to-close/", "source")</f>
        <v/>
      </c>
      <c r="Y85" t="inlineStr">
        <is>
          <t>1913059e-9aa4-5a1a-90aa-ba591d20ecba</t>
        </is>
      </c>
    </row>
    <row r="86">
      <c r="A86" t="inlineStr">
        <is>
          <t>reden</t>
        </is>
      </c>
      <c r="B86" t="inlineStr">
        <is>
          <t>FR</t>
        </is>
      </c>
      <c r="C86" t="inlineStr">
        <is>
          <t>Roquefort</t>
        </is>
      </c>
      <c r="D86" t="inlineStr">
        <is>
          <t>solar</t>
        </is>
      </c>
      <c r="E86" t="inlineStr">
        <is>
          <t>module</t>
        </is>
      </c>
      <c r="F86" t="n">
        <v>1</v>
      </c>
      <c r="G86" t="inlineStr">
        <is>
          <t>operational</t>
        </is>
      </c>
      <c r="H86" t="n">
        <v>0.2</v>
      </c>
      <c r="I86" t="n">
        <v>0.2</v>
      </c>
      <c r="J86" t="n">
        <v>4000000</v>
      </c>
      <c r="K86" t="n">
        <v>4000000</v>
      </c>
      <c r="L86" t="b">
        <v>0</v>
      </c>
      <c r="M86" t="inlineStr">
        <is>
          <t>2021-12</t>
        </is>
      </c>
      <c r="N86" t="inlineStr">
        <is>
          <t>2021-12</t>
        </is>
      </c>
      <c r="O86" t="inlineStr">
        <is>
          <t>2024-12</t>
        </is>
      </c>
      <c r="P86" t="b">
        <v>1</v>
      </c>
      <c r="Q86" t="b">
        <v>1</v>
      </c>
      <c r="R86" t="b">
        <v>0</v>
      </c>
      <c r="S86">
        <f>HYPERLINK("https://www.pv-tech.org/we-want-to-be-an-ipp-with-a-module-production-line-says-reden/", "source")</f>
        <v/>
      </c>
      <c r="T86">
        <f>HYPERLINK("https://www.pv-tech.org/we-want-to-be-an-ipp-with-a-module-production-line-says-reden/", "source")</f>
        <v/>
      </c>
      <c r="U86">
        <f>HYPERLINK("https://www.world-energy.org/article/46785.html", "source")</f>
        <v/>
      </c>
      <c r="V86" t="inlineStr"/>
      <c r="W86" t="inlineStr"/>
      <c r="X86">
        <f>HYPERLINK("https://www.pv-tech.org/we-want-to-be-an-ipp-with-a-module-production-line-says-reden/", "source")</f>
        <v/>
      </c>
      <c r="Y86" t="inlineStr">
        <is>
          <t>8eb36a67-f3ad-50af-99a3-2b26395021aa</t>
        </is>
      </c>
    </row>
    <row r="87">
      <c r="A87" t="inlineStr">
        <is>
          <t>rinovasol</t>
        </is>
      </c>
      <c r="B87" t="inlineStr">
        <is>
          <t>ES</t>
        </is>
      </c>
      <c r="C87" t="inlineStr">
        <is>
          <t>Navarre</t>
        </is>
      </c>
      <c r="D87" t="inlineStr">
        <is>
          <t>solar</t>
        </is>
      </c>
      <c r="E87" t="inlineStr">
        <is>
          <t>module</t>
        </is>
      </c>
      <c r="F87" t="n">
        <v>1</v>
      </c>
      <c r="G87" t="inlineStr">
        <is>
          <t>announced</t>
        </is>
      </c>
      <c r="H87" t="n">
        <v>0.05</v>
      </c>
      <c r="I87" t="n">
        <v>0.05</v>
      </c>
      <c r="J87" t="n">
        <v>4150000</v>
      </c>
      <c r="K87" t="n">
        <v>4150000</v>
      </c>
      <c r="L87" t="b">
        <v>1</v>
      </c>
      <c r="M87" t="inlineStr">
        <is>
          <t>2021-06</t>
        </is>
      </c>
      <c r="N87" t="inlineStr"/>
      <c r="O87" t="inlineStr"/>
      <c r="P87" t="b">
        <v>0</v>
      </c>
      <c r="Q87" t="b">
        <v>0</v>
      </c>
      <c r="R87" t="b">
        <v>0</v>
      </c>
      <c r="S87">
        <f>HYPERLINK("https://www.pv-magazine.com/2021/06/01/new-factory-in-spain-to-repair-solar-modules/", "source")</f>
        <v/>
      </c>
      <c r="T87">
        <f>HYPERLINK("https://www.pv-magazine.com/2021/06/01/new-factory-in-spain-to-repair-solar-modules/", "source")</f>
        <v/>
      </c>
      <c r="U87">
        <f>HYPERLINK("https://www.pv-magazine.com/2021/06/01/new-factory-in-spain-to-repair-solar-modules/", "source")</f>
        <v/>
      </c>
      <c r="V87">
        <f>HYPERLINK("https://www.pv-magazine.com/2021/06/01/new-factory-in-spain-to-repair-solar-modules/", "source")</f>
        <v/>
      </c>
      <c r="W87" t="inlineStr"/>
      <c r="X87" t="inlineStr"/>
      <c r="Y87" t="inlineStr">
        <is>
          <t>27eaa10d-cd5d-59eb-a2a2-d16bbae453c0</t>
        </is>
      </c>
    </row>
    <row r="88">
      <c r="A88" t="inlineStr">
        <is>
          <t>robert bosch gmbh</t>
        </is>
      </c>
      <c r="B88" t="inlineStr">
        <is>
          <t>DE</t>
        </is>
      </c>
      <c r="C88" t="inlineStr">
        <is>
          <t>Dresden</t>
        </is>
      </c>
      <c r="D88" t="inlineStr">
        <is>
          <t>solar</t>
        </is>
      </c>
      <c r="E88" t="inlineStr">
        <is>
          <t>ingot_wafer</t>
        </is>
      </c>
      <c r="F88" t="n">
        <v>1</v>
      </c>
      <c r="G88" t="inlineStr">
        <is>
          <t>operational</t>
        </is>
      </c>
      <c r="H88" t="inlineStr"/>
      <c r="I88" t="inlineStr"/>
      <c r="J88" t="n">
        <v>1000000000</v>
      </c>
      <c r="K88" t="n">
        <v>1000000000</v>
      </c>
      <c r="L88" t="b">
        <v>0</v>
      </c>
      <c r="M88" t="inlineStr"/>
      <c r="N88" t="inlineStr"/>
      <c r="O88" t="inlineStr"/>
      <c r="P88" t="b">
        <v>0</v>
      </c>
      <c r="Q88" t="b">
        <v>0</v>
      </c>
      <c r="R88" t="b">
        <v>0</v>
      </c>
      <c r="S88">
        <f>HYPERLINK("https://www.electrive.com/2021/03/08/bosch-automates-production-of-silicon-wafers/", "source")</f>
        <v/>
      </c>
      <c r="T88" t="inlineStr"/>
      <c r="U88">
        <f>HYPERLINK("https://www.electrive.com/2021/03/08/bosch-automates-production-of-silicon-wafers/", "source")</f>
        <v/>
      </c>
      <c r="V88" t="inlineStr"/>
      <c r="W88" t="inlineStr"/>
      <c r="X88" t="inlineStr"/>
      <c r="Y88" t="inlineStr">
        <is>
          <t>8b95d583-6086-5ad2-9733-11a79586b17a</t>
        </is>
      </c>
    </row>
    <row r="89">
      <c r="A89" t="inlineStr">
        <is>
          <t>saule technologies</t>
        </is>
      </c>
      <c r="B89" t="inlineStr">
        <is>
          <t>PL</t>
        </is>
      </c>
      <c r="C89" t="inlineStr">
        <is>
          <t>Wrocław</t>
        </is>
      </c>
      <c r="D89" t="inlineStr">
        <is>
          <t>solar</t>
        </is>
      </c>
      <c r="E89" t="inlineStr">
        <is>
          <t>cell</t>
        </is>
      </c>
      <c r="F89" t="n">
        <v>1</v>
      </c>
      <c r="G89" t="inlineStr">
        <is>
          <t>operational</t>
        </is>
      </c>
      <c r="H89" t="n">
        <v>0.1</v>
      </c>
      <c r="I89" t="n">
        <v>0.1</v>
      </c>
      <c r="J89" t="n">
        <v>10000000</v>
      </c>
      <c r="K89" t="n">
        <v>10000000</v>
      </c>
      <c r="L89" t="b">
        <v>0</v>
      </c>
      <c r="M89" t="inlineStr">
        <is>
          <t>2018-06</t>
        </is>
      </c>
      <c r="N89" t="inlineStr">
        <is>
          <t>2018-06</t>
        </is>
      </c>
      <c r="O89" t="inlineStr">
        <is>
          <t>2021-06</t>
        </is>
      </c>
      <c r="P89" t="b">
        <v>1</v>
      </c>
      <c r="Q89" t="b">
        <v>1</v>
      </c>
      <c r="R89" t="b">
        <v>0</v>
      </c>
      <c r="S89">
        <f>HYPERLINK("https://www.pv-magazine.com/2021/06/17/saules-technologies-opens-perovskite-solar-cell-factory-in-poland/", "source")</f>
        <v/>
      </c>
      <c r="T89">
        <f>HYPERLINK("https://www.pv-magazine.com/2021/06/17/saules-technologies-opens-perovskite-solar-cell-factory-in-poland/", "source")</f>
        <v/>
      </c>
      <c r="U89">
        <f>HYPERLINK("https://www.pv-magazine.com/2021/06/17/saules-technologies-opens-perovskite-solar-cell-factory-in-poland/", "source")</f>
        <v/>
      </c>
      <c r="V89" t="inlineStr"/>
      <c r="W89" t="inlineStr"/>
      <c r="X89">
        <f>HYPERLINK("https://www.pv-magazine.com/2021/06/17/saules-technologies-opens-perovskite-solar-cell-factory-in-poland/", "source")</f>
        <v/>
      </c>
      <c r="Y89" t="inlineStr">
        <is>
          <t>ce6b6af7-b748-5b0c-81e6-52c149ba4855</t>
        </is>
      </c>
    </row>
    <row r="90">
      <c r="A90" t="inlineStr">
        <is>
          <t>silicon valen</t>
        </is>
      </c>
      <c r="B90" t="inlineStr">
        <is>
          <t>ES</t>
        </is>
      </c>
      <c r="C90" t="inlineStr">
        <is>
          <t>Valencia</t>
        </is>
      </c>
      <c r="D90" t="inlineStr">
        <is>
          <t>solar</t>
        </is>
      </c>
      <c r="E90" t="inlineStr">
        <is>
          <t>module</t>
        </is>
      </c>
      <c r="F90" t="n">
        <v>1</v>
      </c>
      <c r="G90" t="inlineStr">
        <is>
          <t>announced</t>
        </is>
      </c>
      <c r="H90" t="n">
        <v>0.2</v>
      </c>
      <c r="I90" t="n">
        <v>0.2</v>
      </c>
      <c r="J90" t="n">
        <v>16600000</v>
      </c>
      <c r="K90" t="n">
        <v>16600000</v>
      </c>
      <c r="L90" t="b">
        <v>1</v>
      </c>
      <c r="M90" t="inlineStr">
        <is>
          <t>2024-02</t>
        </is>
      </c>
      <c r="N90" t="inlineStr"/>
      <c r="O90" t="inlineStr"/>
      <c r="P90" t="b">
        <v>0</v>
      </c>
      <c r="Q90" t="b">
        <v>0</v>
      </c>
      <c r="R90" t="b">
        <v>0</v>
      </c>
      <c r="S90">
        <f>HYPERLINK("https://www.economiadigital.es/valencia/empresas/silicon-valen-preve-producir-200-mw-paneles-solares-made-in-valencia-2025.html", "source")</f>
        <v/>
      </c>
      <c r="T90">
        <f>HYPERLINK("https://www.economiadigital.es/valencia/empresas/silicon-valen-preve-producir-200-mw-paneles-solares-made-in-valencia-2025.html", "source")</f>
        <v/>
      </c>
      <c r="U90">
        <f>HYPERLINK("https://www.economiadigital.es/valencia/empresas/silicon-valen-preve-producir-200-mw-paneles-solares-made-in-valencia-2025.html", "source")</f>
        <v/>
      </c>
      <c r="V90">
        <f>HYPERLINK("https://www.economiadigital.es/valencia/empresas/silicon-valen-preve-producir-200-mw-paneles-solares-made-in-valencia-2025.html", "source")</f>
        <v/>
      </c>
      <c r="W90" t="inlineStr"/>
      <c r="X90" t="inlineStr"/>
      <c r="Y90" t="inlineStr">
        <is>
          <t>51cccd44-9f28-5581-931e-782622b9e30c</t>
        </is>
      </c>
    </row>
    <row r="91">
      <c r="A91" t="inlineStr">
        <is>
          <t>smart solar technologies ad</t>
        </is>
      </c>
      <c r="B91" t="inlineStr">
        <is>
          <t>BG</t>
        </is>
      </c>
      <c r="C91" t="inlineStr">
        <is>
          <t>Stara Zagora</t>
        </is>
      </c>
      <c r="D91" t="inlineStr">
        <is>
          <t>solar</t>
        </is>
      </c>
      <c r="E91" t="inlineStr">
        <is>
          <t>cell</t>
        </is>
      </c>
      <c r="F91" t="n">
        <v>1</v>
      </c>
      <c r="G91" t="inlineStr">
        <is>
          <t>announced</t>
        </is>
      </c>
      <c r="H91" t="inlineStr"/>
      <c r="I91" t="inlineStr"/>
      <c r="J91" t="n">
        <v>122711934</v>
      </c>
      <c r="K91" t="n">
        <v>122711934</v>
      </c>
      <c r="L91" t="b">
        <v>0</v>
      </c>
      <c r="M91" t="inlineStr">
        <is>
          <t>2024-08</t>
        </is>
      </c>
      <c r="N91" t="inlineStr"/>
      <c r="O91" t="inlineStr"/>
      <c r="P91" t="b">
        <v>0</v>
      </c>
      <c r="Q91" t="b">
        <v>0</v>
      </c>
      <c r="R91" t="b">
        <v>0</v>
      </c>
      <c r="S91">
        <f>HYPERLINK("https://www.pv-magazine.com/2024/08/26/bulgaria-gives-green-light-to-solar-cell-panel-factory/", "source")</f>
        <v/>
      </c>
      <c r="T91" t="inlineStr"/>
      <c r="U91">
        <f>HYPERLINK("https://www.pv-magazine.com/2024/08/26/bulgaria-gives-green-light-to-solar-cell-panel-factory/", "source")</f>
        <v/>
      </c>
      <c r="V91">
        <f>HYPERLINK("https://www.pv-magazine.com/2024/08/26/bulgaria-gives-green-light-to-solar-cell-panel-factory/", "source")</f>
        <v/>
      </c>
      <c r="W91" t="inlineStr"/>
      <c r="X91" t="inlineStr"/>
      <c r="Y91" t="inlineStr">
        <is>
          <t>f1c2063a-e2c3-5c01-98aa-c6a2cf342c75</t>
        </is>
      </c>
    </row>
    <row r="92">
      <c r="A92" t="inlineStr">
        <is>
          <t>solarcells</t>
        </is>
      </c>
      <c r="B92" t="inlineStr">
        <is>
          <t>LU</t>
        </is>
      </c>
      <c r="C92" t="inlineStr">
        <is>
          <t>Ville de Luxembourg</t>
        </is>
      </c>
      <c r="D92" t="inlineStr">
        <is>
          <t>solar</t>
        </is>
      </c>
      <c r="E92" t="inlineStr">
        <is>
          <t>module</t>
        </is>
      </c>
      <c r="F92" t="n">
        <v>1</v>
      </c>
      <c r="G92" t="inlineStr">
        <is>
          <t>operational</t>
        </is>
      </c>
      <c r="H92" t="n">
        <v>0.05</v>
      </c>
      <c r="I92" t="n">
        <v>0.05</v>
      </c>
      <c r="J92" t="n">
        <v>5000000</v>
      </c>
      <c r="K92" t="n">
        <v>5000000</v>
      </c>
      <c r="L92" t="b">
        <v>0</v>
      </c>
      <c r="M92" t="inlineStr">
        <is>
          <t>2023-01</t>
        </is>
      </c>
      <c r="N92" t="inlineStr">
        <is>
          <t>2023-01</t>
        </is>
      </c>
      <c r="O92" t="inlineStr">
        <is>
          <t>2023-01</t>
        </is>
      </c>
      <c r="P92" t="b">
        <v>0</v>
      </c>
      <c r="Q92" t="b">
        <v>1</v>
      </c>
      <c r="R92" t="b">
        <v>0</v>
      </c>
      <c r="S92">
        <f>HYPERLINK("https://www.pv-magazine.com/2023/01/13/european-joint-venture-to-produce-solar-panels-in-luxembourg/", "source")</f>
        <v/>
      </c>
      <c r="T92">
        <f>HYPERLINK("https://www.pv-magazine.com/2023/01/13/european-joint-venture-to-produce-solar-panels-in-luxembourg/", "source")</f>
        <v/>
      </c>
      <c r="U92">
        <f>HYPERLINK("https://www.pv-magazine.com/2023/01/13/european-joint-venture-to-produce-solar-panels-in-luxembourg/", "source")</f>
        <v/>
      </c>
      <c r="V92">
        <f>HYPERLINK("https://www.pv-magazine.com/category/manufacturing/modules-upstream-manufacturing/page/206/", "source")</f>
        <v/>
      </c>
      <c r="W92" t="inlineStr"/>
      <c r="X92">
        <f>HYPERLINK("https://www.pv-magazine.com/2023/01/13/european-joint-venture-to-produce-solar-panels-in-luxembourg/", "source")</f>
        <v/>
      </c>
      <c r="Y92" t="inlineStr">
        <is>
          <t>4ae3dd7f-147b-55a3-9878-106c59449099</t>
        </is>
      </c>
    </row>
    <row r="93">
      <c r="A93" t="inlineStr">
        <is>
          <t>solarcells</t>
        </is>
      </c>
      <c r="B93" t="inlineStr">
        <is>
          <t>LU</t>
        </is>
      </c>
      <c r="C93" t="inlineStr">
        <is>
          <t>Ville de Luxembourg</t>
        </is>
      </c>
      <c r="D93" t="inlineStr">
        <is>
          <t>solar</t>
        </is>
      </c>
      <c r="E93" t="inlineStr">
        <is>
          <t>module</t>
        </is>
      </c>
      <c r="F93" t="n">
        <v>2</v>
      </c>
      <c r="G93" t="inlineStr">
        <is>
          <t>announced</t>
        </is>
      </c>
      <c r="H93" t="n">
        <v>0.05</v>
      </c>
      <c r="I93" t="n">
        <v>0.1</v>
      </c>
      <c r="J93" t="n">
        <v>5000000</v>
      </c>
      <c r="K93" t="n">
        <v>10000000</v>
      </c>
      <c r="L93" t="b">
        <v>1</v>
      </c>
      <c r="M93" t="inlineStr">
        <is>
          <t>2023-01</t>
        </is>
      </c>
      <c r="N93" t="inlineStr"/>
      <c r="O93" t="inlineStr"/>
      <c r="P93" t="b">
        <v>0</v>
      </c>
      <c r="Q93" t="b">
        <v>0</v>
      </c>
      <c r="R93" t="b">
        <v>0</v>
      </c>
      <c r="S93">
        <f>HYPERLINK("https://www.pv-magazine.com/2023/01/13/european-joint-venture-to-produce-solar-panels-in-luxembourg/", "source")</f>
        <v/>
      </c>
      <c r="T93">
        <f>HYPERLINK("https://www.pv-magazine.com/2023/01/13/european-joint-venture-to-produce-solar-panels-in-luxembourg/", "source")</f>
        <v/>
      </c>
      <c r="U93">
        <f>HYPERLINK("https://www.pv-magazine.com/2023/01/13/european-joint-venture-to-produce-solar-panels-in-luxembourg/", "source")</f>
        <v/>
      </c>
      <c r="V93">
        <f>HYPERLINK("https://www.pv-magazine.com/2023/01/13/european-joint-venture-to-produce-solar-panels-in-luxembourg/", "source")</f>
        <v/>
      </c>
      <c r="W93" t="inlineStr"/>
      <c r="X93" t="inlineStr"/>
      <c r="Y93" t="inlineStr">
        <is>
          <t>4ae3dd7f-147b-55a3-9878-106c59449099</t>
        </is>
      </c>
    </row>
    <row r="94">
      <c r="A94" t="inlineStr">
        <is>
          <t>solarge</t>
        </is>
      </c>
      <c r="B94" t="inlineStr">
        <is>
          <t>NL</t>
        </is>
      </c>
      <c r="C94" t="inlineStr">
        <is>
          <t>Eindhoven Municipality</t>
        </is>
      </c>
      <c r="D94" t="inlineStr">
        <is>
          <t>solar</t>
        </is>
      </c>
      <c r="E94" t="inlineStr">
        <is>
          <t>module</t>
        </is>
      </c>
      <c r="F94" t="n">
        <v>1</v>
      </c>
      <c r="G94" t="inlineStr">
        <is>
          <t>operational</t>
        </is>
      </c>
      <c r="H94" t="n">
        <v>0.1</v>
      </c>
      <c r="I94" t="n">
        <v>0.1</v>
      </c>
      <c r="J94" t="n">
        <v>8300000</v>
      </c>
      <c r="K94" t="n">
        <v>8300000</v>
      </c>
      <c r="L94" t="b">
        <v>1</v>
      </c>
      <c r="M94" t="inlineStr">
        <is>
          <t>2021-09</t>
        </is>
      </c>
      <c r="N94" t="inlineStr">
        <is>
          <t>2021-09</t>
        </is>
      </c>
      <c r="O94" t="inlineStr">
        <is>
          <t>2023-05</t>
        </is>
      </c>
      <c r="P94" t="b">
        <v>0</v>
      </c>
      <c r="Q94" t="b">
        <v>0</v>
      </c>
      <c r="R94" t="b">
        <v>0</v>
      </c>
      <c r="S94">
        <f>HYPERLINK("https://www.pv-magazine.com/2024/04/25/solarge-plans-500-mw-bipv-module-factory/", "source")</f>
        <v/>
      </c>
      <c r="T94">
        <f>HYPERLINK("https://www.pv-magazine.com/2024/04/25/solarge-plans-500-mw-bipv-module-factory/", "source")</f>
        <v/>
      </c>
      <c r="U94">
        <f>HYPERLINK("https://www.pv-magazine.com/2024/04/25/solarge-plans-500-mw-bipv-module-factory/", "source")</f>
        <v/>
      </c>
      <c r="V94">
        <f>HYPERLINK("https://www.pv-magazine.com/2021/09/15/dutch-construction-company-invests-in-300-mw-solar-module-factory/", "source")</f>
        <v/>
      </c>
      <c r="W94">
        <f>HYPERLINK("https://www.pv-magazine.com/2021/09/15/dutch-construction-company-invests-in-300-mw-solar-module-factory/", "source")</f>
        <v/>
      </c>
      <c r="X94">
        <f>HYPERLINK("https://www.pv-magazine.com/2023/05/25/solarge-opens-first-large-scale-solar-production-line/", "source")</f>
        <v/>
      </c>
      <c r="Y94" t="inlineStr">
        <is>
          <t>0b776f8d-d9b9-5f0d-896d-6c8beca79459</t>
        </is>
      </c>
    </row>
    <row r="95">
      <c r="A95" t="inlineStr">
        <is>
          <t>solarge</t>
        </is>
      </c>
      <c r="B95" t="inlineStr">
        <is>
          <t>NL</t>
        </is>
      </c>
      <c r="C95" t="inlineStr">
        <is>
          <t>Eindhoven Municipality</t>
        </is>
      </c>
      <c r="D95" t="inlineStr">
        <is>
          <t>solar</t>
        </is>
      </c>
      <c r="E95" t="inlineStr">
        <is>
          <t>module</t>
        </is>
      </c>
      <c r="F95" t="n">
        <v>2</v>
      </c>
      <c r="G95" t="inlineStr">
        <is>
          <t>under construction</t>
        </is>
      </c>
      <c r="H95" t="n">
        <v>0</v>
      </c>
      <c r="I95" t="n">
        <v>0.1</v>
      </c>
      <c r="J95" t="n">
        <v>0</v>
      </c>
      <c r="K95" t="n">
        <v>8300000</v>
      </c>
      <c r="L95" t="b">
        <v>1</v>
      </c>
      <c r="M95" t="inlineStr">
        <is>
          <t>2022-05</t>
        </is>
      </c>
      <c r="N95" t="inlineStr">
        <is>
          <t>2022-05</t>
        </is>
      </c>
      <c r="O95" t="inlineStr">
        <is>
          <t>2025-05</t>
        </is>
      </c>
      <c r="P95" t="b">
        <v>0</v>
      </c>
      <c r="Q95" t="b">
        <v>0</v>
      </c>
      <c r="R95" t="b">
        <v>1</v>
      </c>
      <c r="S95">
        <f>HYPERLINK("https://www.pv-magazine.com/2022/05/06/mondragon-supplies-100-mw-module-production-line-to-solarge/", "source")</f>
        <v/>
      </c>
      <c r="T95">
        <f>HYPERLINK("https://www.pv-magazine.com/2022/05/06/mondragon-supplies-100-mw-module-production-line-to-solarge/", "source")</f>
        <v/>
      </c>
      <c r="U95">
        <f>HYPERLINK("https://www.pv-magazine.com/2022/05/06/mondragon-supplies-100-mw-module-production-line-to-solarge/", "source")</f>
        <v/>
      </c>
      <c r="V95">
        <f>HYPERLINK("https://www.pv-magazine.com/2022/05/06/mondragon-supplies-100-mw-module-production-line-to-solarge/", "source")</f>
        <v/>
      </c>
      <c r="W95">
        <f>HYPERLINK("https://www.pv-magazine.com/2022/05/06/mondragon-supplies-100-mw-module-production-line-to-solarge/", "source")</f>
        <v/>
      </c>
      <c r="X95" t="inlineStr"/>
      <c r="Y95" t="inlineStr">
        <is>
          <t>0b776f8d-d9b9-5f0d-896d-6c8beca79459</t>
        </is>
      </c>
    </row>
    <row r="96">
      <c r="A96" t="inlineStr">
        <is>
          <t>solarwatt</t>
        </is>
      </c>
      <c r="B96" t="inlineStr">
        <is>
          <t>DE</t>
        </is>
      </c>
      <c r="C96" t="inlineStr">
        <is>
          <t>Dresden</t>
        </is>
      </c>
      <c r="D96" t="inlineStr">
        <is>
          <t>solar</t>
        </is>
      </c>
      <c r="E96" t="inlineStr">
        <is>
          <t>module</t>
        </is>
      </c>
      <c r="F96" t="n">
        <v>1</v>
      </c>
      <c r="G96" t="inlineStr">
        <is>
          <t>operational</t>
        </is>
      </c>
      <c r="H96" t="n">
        <v>0.3</v>
      </c>
      <c r="I96" t="n">
        <v>0.3</v>
      </c>
      <c r="J96" t="n">
        <v>35000000</v>
      </c>
      <c r="K96" t="n">
        <v>35000000</v>
      </c>
      <c r="L96" t="b">
        <v>0</v>
      </c>
      <c r="M96" t="inlineStr">
        <is>
          <t>2018-09</t>
        </is>
      </c>
      <c r="N96" t="inlineStr">
        <is>
          <t>2018-09</t>
        </is>
      </c>
      <c r="O96" t="inlineStr">
        <is>
          <t>2021-09</t>
        </is>
      </c>
      <c r="P96" t="b">
        <v>1</v>
      </c>
      <c r="Q96" t="b">
        <v>1</v>
      </c>
      <c r="R96" t="b">
        <v>0</v>
      </c>
      <c r="S96">
        <f>HYPERLINK("https://www.pv-magazine.com/2021/09/23/solarwatt-brings-new-module-and-battery-factories-online-in-germany/", "source")</f>
        <v/>
      </c>
      <c r="T96">
        <f>HYPERLINK("https://www.pv-magazine.com/2021/09/23/solarwatt-brings-new-module-and-battery-factories-online-in-germany/", "source")</f>
        <v/>
      </c>
      <c r="U96">
        <f>HYPERLINK("https://www.pv-magazine.com/2021/09/23/solarwatt-brings-new-module-and-battery-factories-online-in-germany/", "source")</f>
        <v/>
      </c>
      <c r="V96" t="inlineStr"/>
      <c r="W96" t="inlineStr"/>
      <c r="X96">
        <f>HYPERLINK("https://www.pv-magazine.com/2021/09/23/solarwatt-brings-new-module-and-battery-factories-online-in-germany/", "source")</f>
        <v/>
      </c>
      <c r="Y96" t="inlineStr">
        <is>
          <t>e4e5b842-6f37-5f19-87c5-6d5fdd366b87</t>
        </is>
      </c>
    </row>
    <row r="97">
      <c r="A97" t="inlineStr">
        <is>
          <t>solarwatt</t>
        </is>
      </c>
      <c r="B97" t="inlineStr">
        <is>
          <t>DE</t>
        </is>
      </c>
      <c r="C97" t="inlineStr">
        <is>
          <t>Dresden</t>
        </is>
      </c>
      <c r="D97" t="inlineStr">
        <is>
          <t>solar</t>
        </is>
      </c>
      <c r="E97" t="inlineStr">
        <is>
          <t>module</t>
        </is>
      </c>
      <c r="F97" t="n">
        <v>2</v>
      </c>
      <c r="G97" t="inlineStr">
        <is>
          <t>operational</t>
        </is>
      </c>
      <c r="H97" t="inlineStr"/>
      <c r="I97" t="inlineStr"/>
      <c r="J97" t="n">
        <v>0</v>
      </c>
      <c r="K97" t="n">
        <v>35000000</v>
      </c>
      <c r="L97" t="b">
        <v>0</v>
      </c>
      <c r="M97" t="inlineStr"/>
      <c r="N97" t="inlineStr"/>
      <c r="O97" t="inlineStr"/>
      <c r="P97" t="b">
        <v>0</v>
      </c>
      <c r="Q97" t="b">
        <v>0</v>
      </c>
      <c r="R97" t="b">
        <v>0</v>
      </c>
      <c r="S97">
        <f>HYPERLINK("https://www.pv-magazine.com/2021/09/23/solarwatt-brings-new-module-and-battery-factories-online-in-germany/", "source")</f>
        <v/>
      </c>
      <c r="T97" t="inlineStr"/>
      <c r="U97">
        <f>HYPERLINK("https://www.pv-magazine.com/2021/09/23/solarwatt-brings-new-module-and-battery-factories-online-in-germany/", "source")</f>
        <v/>
      </c>
      <c r="V97" t="inlineStr"/>
      <c r="W97" t="inlineStr"/>
      <c r="X97" t="inlineStr"/>
      <c r="Y97" t="inlineStr">
        <is>
          <t>e4e5b842-6f37-5f19-87c5-6d5fdd366b87</t>
        </is>
      </c>
    </row>
    <row r="98">
      <c r="A98" t="inlineStr">
        <is>
          <t>solitek</t>
        </is>
      </c>
      <c r="B98" t="inlineStr">
        <is>
          <t>IT</t>
        </is>
      </c>
      <c r="C98" t="inlineStr">
        <is>
          <t>Benevento</t>
        </is>
      </c>
      <c r="D98" t="inlineStr">
        <is>
          <t>solar</t>
        </is>
      </c>
      <c r="E98" t="inlineStr">
        <is>
          <t>module</t>
        </is>
      </c>
      <c r="F98" t="n">
        <v>1</v>
      </c>
      <c r="G98" t="inlineStr">
        <is>
          <t>announced</t>
        </is>
      </c>
      <c r="H98" t="n">
        <v>0.6</v>
      </c>
      <c r="I98" t="n">
        <v>0.6</v>
      </c>
      <c r="J98" t="n">
        <v>50000000</v>
      </c>
      <c r="K98" t="n">
        <v>50000000</v>
      </c>
      <c r="L98" t="b">
        <v>0</v>
      </c>
      <c r="M98" t="inlineStr">
        <is>
          <t>2023-03</t>
        </is>
      </c>
      <c r="N98" t="inlineStr"/>
      <c r="O98" t="inlineStr"/>
      <c r="P98" t="b">
        <v>0</v>
      </c>
      <c r="Q98" t="b">
        <v>0</v>
      </c>
      <c r="R98" t="b">
        <v>0</v>
      </c>
      <c r="S98">
        <f>HYPERLINK("https://www.pv-magazine.com/2023/12/04/solitek-launches-solar-carport-for-residential-commercial-applications/", "source")</f>
        <v/>
      </c>
      <c r="T98">
        <f>HYPERLINK("https://www.pv-magazine.com/2023/12/04/solitek-launches-solar-carport-for-residential-commercial-applications/", "source")</f>
        <v/>
      </c>
      <c r="U98">
        <f>HYPERLINK("https://www.pv-magazine.com/2023/03/20/solitek-to-build-600-mw-solar-module-factory-in-italy/", "source")</f>
        <v/>
      </c>
      <c r="V98">
        <f>HYPERLINK("https://www.pv-magazine.com/2023/03/20/solitek-to-build-600-mw-solar-module-factory-in-italy/", "source")</f>
        <v/>
      </c>
      <c r="W98" t="inlineStr"/>
      <c r="X98" t="inlineStr"/>
      <c r="Y98" t="inlineStr">
        <is>
          <t>269a0052-7dcd-517c-88e4-2b63a9f847cc</t>
        </is>
      </c>
    </row>
    <row r="99">
      <c r="A99" t="inlineStr">
        <is>
          <t>sonnenstromfabrik</t>
        </is>
      </c>
      <c r="B99" t="inlineStr">
        <is>
          <t>DE</t>
        </is>
      </c>
      <c r="C99" t="inlineStr">
        <is>
          <t>Wismar, Hansestadt</t>
        </is>
      </c>
      <c r="D99" t="inlineStr">
        <is>
          <t>solar</t>
        </is>
      </c>
      <c r="E99" t="inlineStr">
        <is>
          <t>cell, module</t>
        </is>
      </c>
      <c r="F99" t="n">
        <v>1</v>
      </c>
      <c r="G99" t="inlineStr">
        <is>
          <t>operational</t>
        </is>
      </c>
      <c r="H99" t="n">
        <v>0.2</v>
      </c>
      <c r="I99" t="n">
        <v>0.2</v>
      </c>
      <c r="J99" t="n">
        <v>16600000</v>
      </c>
      <c r="K99" t="n">
        <v>16600000</v>
      </c>
      <c r="L99" t="b">
        <v>1</v>
      </c>
      <c r="M99" t="inlineStr">
        <is>
          <t>2019-02</t>
        </is>
      </c>
      <c r="N99" t="inlineStr">
        <is>
          <t>2019-02</t>
        </is>
      </c>
      <c r="O99" t="inlineStr">
        <is>
          <t>2022-02</t>
        </is>
      </c>
      <c r="P99" t="b">
        <v>1</v>
      </c>
      <c r="Q99" t="b">
        <v>1</v>
      </c>
      <c r="R99" t="b">
        <v>0</v>
      </c>
      <c r="S99">
        <f>HYPERLINK("https://www.pv-magazine.com/2022/02/25/sonnenstromfabrik-plans-300mw-solar-module-line-in-germany-with-patented-rec-tech/", "source")</f>
        <v/>
      </c>
      <c r="T99">
        <f>HYPERLINK("https://www.pv-magazine.com/2022/02/25/sonnenstromfabrik-plans-300mw-solar-module-line-in-germany-with-patented-rec-tech/", "source")</f>
        <v/>
      </c>
      <c r="U99">
        <f>HYPERLINK("https://www.pv-magazine.com/2022/02/25/sonnenstromfabrik-plans-300mw-solar-module-line-in-germany-with-patented-rec-tech/", "source")</f>
        <v/>
      </c>
      <c r="V99" t="inlineStr"/>
      <c r="W99" t="inlineStr"/>
      <c r="X99">
        <f>HYPERLINK("https://www.pv-magazine.com/2022/02/25/sonnenstromfabrik-plans-300mw-solar-module-line-in-germany-with-patented-rec-tech/", "source")</f>
        <v/>
      </c>
      <c r="Y99" t="inlineStr">
        <is>
          <t>16027e87-1272-52ab-862b-e5f2a88c7701</t>
        </is>
      </c>
    </row>
    <row r="100">
      <c r="A100" t="inlineStr">
        <is>
          <t>sonnenstromfabrik</t>
        </is>
      </c>
      <c r="B100" t="inlineStr">
        <is>
          <t>DE</t>
        </is>
      </c>
      <c r="C100" t="inlineStr">
        <is>
          <t>Wismar, Hansestadt</t>
        </is>
      </c>
      <c r="D100" t="inlineStr">
        <is>
          <t>solar</t>
        </is>
      </c>
      <c r="E100" t="inlineStr">
        <is>
          <t>cell, module</t>
        </is>
      </c>
      <c r="F100" t="n">
        <v>2</v>
      </c>
      <c r="G100" t="inlineStr">
        <is>
          <t>announced</t>
        </is>
      </c>
      <c r="H100" t="n">
        <v>0.3</v>
      </c>
      <c r="I100" t="n">
        <v>0.5</v>
      </c>
      <c r="J100" t="n">
        <v>24900000</v>
      </c>
      <c r="K100" t="n">
        <v>41500000</v>
      </c>
      <c r="L100" t="b">
        <v>1</v>
      </c>
      <c r="M100" t="inlineStr">
        <is>
          <t>2022-02</t>
        </is>
      </c>
      <c r="N100" t="inlineStr"/>
      <c r="O100" t="inlineStr"/>
      <c r="P100" t="b">
        <v>0</v>
      </c>
      <c r="Q100" t="b">
        <v>0</v>
      </c>
      <c r="R100" t="b">
        <v>0</v>
      </c>
      <c r="S100">
        <f>HYPERLINK("https://www.pv-magazine.com/2022/02/25/sonnenstromfabrik-plans-300mw-solar-module-line-in-germany-with-patented-rec-tech/", "source")</f>
        <v/>
      </c>
      <c r="T100">
        <f>HYPERLINK("https://www.pv-magazine.com/2022/02/25/sonnenstromfabrik-plans-300mw-solar-module-line-in-germany-with-patented-rec-tech/", "source")</f>
        <v/>
      </c>
      <c r="U100">
        <f>HYPERLINK("https://www.pv-magazine.com/2022/02/25/sonnenstromfabrik-plans-300mw-solar-module-line-in-germany-with-patented-rec-tech/", "source")</f>
        <v/>
      </c>
      <c r="V100">
        <f>HYPERLINK("https://www.pv-magazine.com/2022/02/25/sonnenstromfabrik-plans-300mw-solar-module-line-in-germany-with-patented-rec-tech/", "source")</f>
        <v/>
      </c>
      <c r="W100" t="inlineStr"/>
      <c r="X100" t="inlineStr"/>
      <c r="Y100" t="inlineStr">
        <is>
          <t>16027e87-1272-52ab-862b-e5f2a88c7701</t>
        </is>
      </c>
    </row>
    <row r="101">
      <c r="A101" t="inlineStr">
        <is>
          <t>sunmaxx pvt</t>
        </is>
      </c>
      <c r="B101" t="inlineStr">
        <is>
          <t>DE</t>
        </is>
      </c>
      <c r="C101" t="inlineStr">
        <is>
          <t>Ottendorf-Okrilla</t>
        </is>
      </c>
      <c r="D101" t="inlineStr">
        <is>
          <t>solar</t>
        </is>
      </c>
      <c r="E101" t="inlineStr">
        <is>
          <t>module</t>
        </is>
      </c>
      <c r="F101" t="n">
        <v>1</v>
      </c>
      <c r="G101" t="inlineStr">
        <is>
          <t>operational</t>
        </is>
      </c>
      <c r="H101" t="n">
        <v>0.05</v>
      </c>
      <c r="I101" t="n">
        <v>0.05</v>
      </c>
      <c r="J101" t="n">
        <v>4150000</v>
      </c>
      <c r="K101" t="n">
        <v>4150000</v>
      </c>
      <c r="L101" t="b">
        <v>1</v>
      </c>
      <c r="M101" t="inlineStr">
        <is>
          <t>2023-09</t>
        </is>
      </c>
      <c r="N101" t="inlineStr">
        <is>
          <t>2023-09</t>
        </is>
      </c>
      <c r="O101" t="inlineStr">
        <is>
          <t>2024-04</t>
        </is>
      </c>
      <c r="P101" t="b">
        <v>0</v>
      </c>
      <c r="Q101" t="b">
        <v>0</v>
      </c>
      <c r="R101" t="b">
        <v>0</v>
      </c>
      <c r="S101">
        <f>HYPERLINK("https://www.pv-magazine.com/2024/04/17/sunmaxx-pvt-opens-50-mw-pv-thermal-module-factory-in-germany/", "source")</f>
        <v/>
      </c>
      <c r="T101">
        <f>HYPERLINK("https://www.pv-magazine.com/2024/04/17/sunmaxx-pvt-opens-50-mw-pv-thermal-module-factory-in-germany/", "source")</f>
        <v/>
      </c>
      <c r="U101">
        <f>HYPERLINK("https://www.pv-magazine.com/2024/04/17/sunmaxx-pvt-opens-50-mw-pv-thermal-module-factory-in-germany/", "source")</f>
        <v/>
      </c>
      <c r="V101">
        <f>HYPERLINK("https://www.pv-magazine.com/2023/09/26/sunmaxx-builds-50-mw-pv-thermal-solar-module-factory-in-germany/", "source")</f>
        <v/>
      </c>
      <c r="W101">
        <f>HYPERLINK("https://www.pv-magazine.com/2023/09/26/sunmaxx-builds-50-mw-pv-thermal-solar-module-factory-in-germany/", "source")</f>
        <v/>
      </c>
      <c r="X101">
        <f>HYPERLINK("https://www.pv-magazine.com/2024/04/17/sunmaxx-pvt-opens-50-mw-pv-thermal-module-factory-in-germany/", "source")</f>
        <v/>
      </c>
      <c r="Y101" t="inlineStr">
        <is>
          <t>7254ca4c-cacb-59a3-8396-1b10840ab942</t>
        </is>
      </c>
    </row>
    <row r="102">
      <c r="A102" t="inlineStr">
        <is>
          <t>sunpower</t>
        </is>
      </c>
      <c r="B102" t="inlineStr">
        <is>
          <t>FR</t>
        </is>
      </c>
      <c r="C102" t="inlineStr">
        <is>
          <t>Porcelette</t>
        </is>
      </c>
      <c r="D102" t="inlineStr">
        <is>
          <t>solar</t>
        </is>
      </c>
      <c r="E102" t="inlineStr">
        <is>
          <t>module</t>
        </is>
      </c>
      <c r="F102" t="n">
        <v>1</v>
      </c>
      <c r="G102" t="inlineStr">
        <is>
          <t>operational</t>
        </is>
      </c>
      <c r="H102" t="n">
        <v>0.044</v>
      </c>
      <c r="I102" t="n">
        <v>0.044</v>
      </c>
      <c r="J102" t="n">
        <v>3652000</v>
      </c>
      <c r="K102" t="n">
        <v>3652000</v>
      </c>
      <c r="L102" t="b">
        <v>1</v>
      </c>
      <c r="M102" t="inlineStr">
        <is>
          <t>2009-05</t>
        </is>
      </c>
      <c r="N102" t="inlineStr">
        <is>
          <t>2009-05</t>
        </is>
      </c>
      <c r="O102" t="inlineStr">
        <is>
          <t>2012-05</t>
        </is>
      </c>
      <c r="P102" t="b">
        <v>1</v>
      </c>
      <c r="Q102" t="b">
        <v>1</v>
      </c>
      <c r="R102" t="b">
        <v>0</v>
      </c>
      <c r="S102">
        <f>HYPERLINK("https://totalenergies.com/media/news/press-releases/energie-solaire-total-et-sunpower-demarrent-une-nouvelle-usine-de-panneaux-solaires-en-france", "source")</f>
        <v/>
      </c>
      <c r="T102">
        <f>HYPERLINK("https://totalenergies.com/media/news/press-releases/energie-solaire-total-et-sunpower-demarrent-une-nouvelle-usine-de-panneaux-solaires-en-france", "source")</f>
        <v/>
      </c>
      <c r="U102">
        <f>HYPERLINK("https://totalenergies.com/media/news/press-releases/energie-solaire-total-et-sunpower-demarrent-une-nouvelle-usine-de-panneaux-solaires-en-france", "source")</f>
        <v/>
      </c>
      <c r="V102" t="inlineStr"/>
      <c r="W102" t="inlineStr"/>
      <c r="X102">
        <f>HYPERLINK("https://totalenergies.com/media/news/press-releases/energie-solaire-total-et-sunpower-demarrent-une-nouvelle-usine-de-panneaux-solaires-en-france", "source")</f>
        <v/>
      </c>
      <c r="Y102" t="inlineStr">
        <is>
          <t>6b2479cd-3d66-552d-b0f7-ea9ce34f590d</t>
        </is>
      </c>
    </row>
    <row r="103">
      <c r="A103" t="inlineStr">
        <is>
          <t>sunwafe sl</t>
        </is>
      </c>
      <c r="B103" t="inlineStr">
        <is>
          <t>ES</t>
        </is>
      </c>
      <c r="C103" t="inlineStr">
        <is>
          <t>Gijón Municipality</t>
        </is>
      </c>
      <c r="D103" t="inlineStr">
        <is>
          <t>solar</t>
        </is>
      </c>
      <c r="E103" t="inlineStr">
        <is>
          <t>ingot_wafer</t>
        </is>
      </c>
      <c r="F103" t="n">
        <v>1</v>
      </c>
      <c r="G103" t="inlineStr">
        <is>
          <t>announced</t>
        </is>
      </c>
      <c r="H103" t="n">
        <v>20</v>
      </c>
      <c r="I103" t="n">
        <v>20</v>
      </c>
      <c r="J103" t="n">
        <v>1620000000</v>
      </c>
      <c r="K103" t="n">
        <v>1620000000</v>
      </c>
      <c r="L103" t="b">
        <v>1</v>
      </c>
      <c r="M103" t="inlineStr">
        <is>
          <t>2025-03</t>
        </is>
      </c>
      <c r="N103" t="inlineStr"/>
      <c r="O103" t="inlineStr"/>
      <c r="P103" t="b">
        <v>0</v>
      </c>
      <c r="Q103" t="b">
        <v>0</v>
      </c>
      <c r="R103" t="b">
        <v>0</v>
      </c>
      <c r="S103">
        <f>HYPERLINK("https://www.saurenergy.com/solar-energy-news/spains-push-for-solar-manufacturing-with-e210-million-funding", "source")</f>
        <v/>
      </c>
      <c r="T103">
        <f>HYPERLINK("https://www.saurenergy.com/solar-energy-news/spains-push-for-solar-manufacturing-with-e210-million-funding", "source")</f>
        <v/>
      </c>
      <c r="U103">
        <f>HYPERLINK("https://www.saurenergy.com/solar-energy-news/spains-push-for-solar-manufacturing-with-e210-million-funding", "source")</f>
        <v/>
      </c>
      <c r="V103">
        <f>HYPERLINK("https://www.saurenergy.com/solar-energy-news/spains-push-for-solar-manufacturing-with-e210-million-funding", "source")</f>
        <v/>
      </c>
      <c r="W103" t="inlineStr"/>
      <c r="X103" t="inlineStr"/>
      <c r="Y103" t="inlineStr">
        <is>
          <t>45b8a880-ecb1-5e0d-b86c-1adc0d573cce</t>
        </is>
      </c>
    </row>
    <row r="104">
      <c r="A104" t="inlineStr">
        <is>
          <t>tubesolar ag</t>
        </is>
      </c>
      <c r="B104" t="inlineStr">
        <is>
          <t>DE</t>
        </is>
      </c>
      <c r="C104" t="inlineStr">
        <is>
          <t>Augsburg</t>
        </is>
      </c>
      <c r="D104" t="inlineStr">
        <is>
          <t>solar</t>
        </is>
      </c>
      <c r="E104" t="inlineStr">
        <is>
          <t>module</t>
        </is>
      </c>
      <c r="F104" t="n">
        <v>1</v>
      </c>
      <c r="G104" t="inlineStr">
        <is>
          <t>announced</t>
        </is>
      </c>
      <c r="H104" t="n">
        <v>0.25</v>
      </c>
      <c r="I104" t="n">
        <v>0.25</v>
      </c>
      <c r="J104" t="n">
        <v>20750000</v>
      </c>
      <c r="K104" t="n">
        <v>20750000</v>
      </c>
      <c r="L104" t="b">
        <v>1</v>
      </c>
      <c r="M104" t="inlineStr">
        <is>
          <t>2022-07</t>
        </is>
      </c>
      <c r="N104" t="inlineStr"/>
      <c r="O104" t="inlineStr"/>
      <c r="P104" t="b">
        <v>0</v>
      </c>
      <c r="Q104" t="b">
        <v>0</v>
      </c>
      <c r="R104" t="b">
        <v>0</v>
      </c>
      <c r="S104">
        <f>HYPERLINK("https://www.pv-magazine.com/2022/07/19/zsw-tubesolar-achieve-14-efficiency-for-thin-film-agrivoltaic-solar-tubes/", "source")</f>
        <v/>
      </c>
      <c r="T104">
        <f>HYPERLINK("https://www.pv-magazine.com/2022/07/19/zsw-tubesolar-achieve-14-efficiency-for-thin-film-agrivoltaic-solar-tubes/", "source")</f>
        <v/>
      </c>
      <c r="U104">
        <f>HYPERLINK("https://www.pv-magazine.com/2022/07/19/zsw-tubesolar-achieve-14-efficiency-for-thin-film-agrivoltaic-solar-tubes/", "source")</f>
        <v/>
      </c>
      <c r="V104">
        <f>HYPERLINK("https://www.pv-magazine.com/2022/07/19/zsw-tubesolar-achieve-14-efficiency-for-thin-film-agrivoltaic-solar-tubes/", "source")</f>
        <v/>
      </c>
      <c r="W104" t="inlineStr"/>
      <c r="X104" t="inlineStr"/>
      <c r="Y104" t="inlineStr">
        <is>
          <t>d8bbc5ef-28ae-58a1-8e44-fcb6a894612b</t>
        </is>
      </c>
    </row>
    <row r="105">
      <c r="A105" t="inlineStr">
        <is>
          <t>valoe</t>
        </is>
      </c>
      <c r="B105" t="inlineStr">
        <is>
          <t>LT</t>
        </is>
      </c>
      <c r="C105" t="inlineStr">
        <is>
          <t>Vilnius</t>
        </is>
      </c>
      <c r="D105" t="inlineStr">
        <is>
          <t>solar</t>
        </is>
      </c>
      <c r="E105" t="inlineStr">
        <is>
          <t>cell</t>
        </is>
      </c>
      <c r="F105" t="n">
        <v>1</v>
      </c>
      <c r="G105" t="inlineStr">
        <is>
          <t>operational</t>
        </is>
      </c>
      <c r="H105" t="n">
        <v>0.06</v>
      </c>
      <c r="I105" t="n">
        <v>0.06</v>
      </c>
      <c r="J105" t="n">
        <v>8040000</v>
      </c>
      <c r="K105" t="n">
        <v>8040000</v>
      </c>
      <c r="L105" t="b">
        <v>1</v>
      </c>
      <c r="M105" t="inlineStr">
        <is>
          <t>2017-08</t>
        </is>
      </c>
      <c r="N105" t="inlineStr">
        <is>
          <t>2017-08</t>
        </is>
      </c>
      <c r="O105" t="inlineStr">
        <is>
          <t>2020-08</t>
        </is>
      </c>
      <c r="P105" t="b">
        <v>1</v>
      </c>
      <c r="Q105" t="b">
        <v>1</v>
      </c>
      <c r="R105" t="b">
        <v>0</v>
      </c>
      <c r="S105">
        <f>HYPERLINK("https://www.pv-magazine.com/2020/12/10/finnish-solar-manufacturer-finally-starts-production-in-vilnius/", "source")</f>
        <v/>
      </c>
      <c r="T105">
        <f>HYPERLINK("https://www.pv-magazine.com/2020/12/10/finnish-solar-manufacturer-finally-starts-production-in-vilnius/", "source")</f>
        <v/>
      </c>
      <c r="U105">
        <f>HYPERLINK("https://www.pv-magazine.com/2020/12/10/finnish-solar-manufacturer-finally-starts-production-in-vilnius/", "source")</f>
        <v/>
      </c>
      <c r="V105" t="inlineStr"/>
      <c r="W105" t="inlineStr"/>
      <c r="X105">
        <f>HYPERLINK("https://www.pv-magazine.com/2020/12/10/finnish-solar-manufacturer-finally-starts-production-in-vilnius/", "source")</f>
        <v/>
      </c>
      <c r="Y105" t="inlineStr">
        <is>
          <t>3de24ff2-ad50-5cff-8f34-10b6fc4abcec</t>
        </is>
      </c>
    </row>
    <row r="106">
      <c r="A106" t="inlineStr">
        <is>
          <t>wacker chemi ag</t>
        </is>
      </c>
      <c r="B106" t="inlineStr">
        <is>
          <t>DE</t>
        </is>
      </c>
      <c r="C106" t="inlineStr">
        <is>
          <t>Nünchritz</t>
        </is>
      </c>
      <c r="D106" t="inlineStr">
        <is>
          <t>solar</t>
        </is>
      </c>
      <c r="E106" t="inlineStr">
        <is>
          <t>polysilicon</t>
        </is>
      </c>
      <c r="F106" t="n">
        <v>1</v>
      </c>
      <c r="G106" t="inlineStr">
        <is>
          <t>operational</t>
        </is>
      </c>
      <c r="H106" t="n">
        <v>15000000000</v>
      </c>
      <c r="I106" t="n">
        <v>15000000000</v>
      </c>
      <c r="J106" t="n">
        <v>900000000</v>
      </c>
      <c r="K106" t="n">
        <v>900000000</v>
      </c>
      <c r="L106" t="b">
        <v>0</v>
      </c>
      <c r="M106" t="inlineStr">
        <is>
          <t>2009-04</t>
        </is>
      </c>
      <c r="N106" t="inlineStr">
        <is>
          <t>2009-04</t>
        </is>
      </c>
      <c r="O106" t="inlineStr">
        <is>
          <t>2012-04</t>
        </is>
      </c>
      <c r="P106" t="b">
        <v>1</v>
      </c>
      <c r="Q106" t="b">
        <v>1</v>
      </c>
      <c r="R106" t="b">
        <v>0</v>
      </c>
      <c r="S106">
        <f>HYPERLINK("https://www.pv-magazine.com/2012/04/30/wacker-opens-nunchritz-polysilicon-production-facilities_10006589/", "source")</f>
        <v/>
      </c>
      <c r="T106">
        <f>HYPERLINK("https://www.pv-magazine.com/2012/04/30/wacker-opens-nunchritz-polysilicon-production-facilities_10006589/", "source")</f>
        <v/>
      </c>
      <c r="U106">
        <f>HYPERLINK("https://www.pv-magazine.com/2012/04/30/wacker-opens-nunchritz-polysilicon-production-facilities_10006589/", "source")</f>
        <v/>
      </c>
      <c r="V106" t="inlineStr"/>
      <c r="W106" t="inlineStr"/>
      <c r="X106">
        <f>HYPERLINK("https://www.pv-magazine.com/2012/04/30/wacker-opens-nunchritz-polysilicon-production-facilities_10006589/", "source")</f>
        <v/>
      </c>
      <c r="Y106" t="inlineStr">
        <is>
          <t>34f84737-19fb-5f41-abb9-4e4c1ed5ae76</t>
        </is>
      </c>
    </row>
    <row r="107">
      <c r="A107" t="inlineStr">
        <is>
          <t>wacker chemi ag</t>
        </is>
      </c>
      <c r="B107" t="inlineStr">
        <is>
          <t>DE</t>
        </is>
      </c>
      <c r="C107" t="inlineStr">
        <is>
          <t>Nünchritz</t>
        </is>
      </c>
      <c r="D107" t="inlineStr">
        <is>
          <t>solar</t>
        </is>
      </c>
      <c r="E107" t="inlineStr">
        <is>
          <t>polysilicon</t>
        </is>
      </c>
      <c r="F107" t="n">
        <v>2</v>
      </c>
      <c r="G107" t="inlineStr">
        <is>
          <t>announced</t>
        </is>
      </c>
      <c r="H107" t="n">
        <v>37000000000</v>
      </c>
      <c r="I107" t="n">
        <v>52000000000</v>
      </c>
      <c r="J107" t="inlineStr"/>
      <c r="K107" t="inlineStr"/>
      <c r="L107" t="b">
        <v>0</v>
      </c>
      <c r="M107" t="inlineStr">
        <is>
          <t>2012-04</t>
        </is>
      </c>
      <c r="N107" t="inlineStr"/>
      <c r="O107" t="inlineStr"/>
      <c r="P107" t="b">
        <v>0</v>
      </c>
      <c r="Q107" t="b">
        <v>0</v>
      </c>
      <c r="R107" t="b">
        <v>0</v>
      </c>
      <c r="S107">
        <f>HYPERLINK("https://www.pv-magazine.com/2012/04/30/wacker-opens-nunchritz-polysilicon-production-facilities_10006589/", "source")</f>
        <v/>
      </c>
      <c r="T107">
        <f>HYPERLINK("https://www.pv-magazine.com/2012/04/30/wacker-opens-nunchritz-polysilicon-production-facilities_10006589/", "source")</f>
        <v/>
      </c>
      <c r="U107" t="inlineStr"/>
      <c r="V107">
        <f>HYPERLINK("https://www.pv-magazine.com/2012/04/30/wacker-opens-nunchritz-polysilicon-production-facilities_10006589/", "source")</f>
        <v/>
      </c>
      <c r="W107" t="inlineStr"/>
      <c r="X107" t="inlineStr"/>
      <c r="Y107" t="inlineStr">
        <is>
          <t>34f84737-19fb-5f41-abb9-4e4c1ed5ae76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121"/>
  <sheetViews>
    <sheetView workbookViewId="0">
      <selection activeCell="A1" sqref="A1"/>
    </sheetView>
  </sheetViews>
  <sheetFormatPr baseColWidth="8" defaultRowHeight="15"/>
  <sheetData>
    <row r="1">
      <c r="A1" s="16" t="inlineStr">
        <is>
          <t>owner</t>
        </is>
      </c>
      <c r="B1" s="16" t="inlineStr">
        <is>
          <t>country</t>
        </is>
      </c>
      <c r="C1" s="16" t="inlineStr">
        <is>
          <t>region</t>
        </is>
      </c>
      <c r="D1" s="16" t="inlineStr">
        <is>
          <t>product_lv1</t>
        </is>
      </c>
      <c r="E1" s="16" t="inlineStr">
        <is>
          <t>product_lv2</t>
        </is>
      </c>
      <c r="F1" s="16" t="inlineStr">
        <is>
          <t>phase</t>
        </is>
      </c>
      <c r="G1" s="16" t="inlineStr">
        <is>
          <t>status</t>
        </is>
      </c>
      <c r="H1" s="16" t="inlineStr">
        <is>
          <t>phase_capacity</t>
        </is>
      </c>
      <c r="I1" s="16" t="inlineStr">
        <is>
          <t>capacity_cumulative</t>
        </is>
      </c>
      <c r="J1" s="16" t="inlineStr">
        <is>
          <t>phase_investment</t>
        </is>
      </c>
      <c r="K1" s="16" t="inlineStr">
        <is>
          <t>investment_cumulative</t>
        </is>
      </c>
      <c r="L1" s="16" t="inlineStr">
        <is>
          <t>investment_was_imputed</t>
        </is>
      </c>
      <c r="M1" s="16" t="inlineStr">
        <is>
          <t>announced_on</t>
        </is>
      </c>
      <c r="N1" s="16" t="inlineStr">
        <is>
          <t>under_construction_on</t>
        </is>
      </c>
      <c r="O1" s="16" t="inlineStr">
        <is>
          <t>operational_on</t>
        </is>
      </c>
      <c r="P1" s="16" t="inlineStr">
        <is>
          <t>ann_date_imputed</t>
        </is>
      </c>
      <c r="Q1" s="16" t="inlineStr">
        <is>
          <t>uc_date_imputed</t>
        </is>
      </c>
      <c r="R1" s="16" t="inlineStr">
        <is>
          <t>op_date_imputed</t>
        </is>
      </c>
      <c r="S1" s="16" t="inlineStr">
        <is>
          <t>status_url</t>
        </is>
      </c>
      <c r="T1" s="16" t="inlineStr">
        <is>
          <t>capacity_url</t>
        </is>
      </c>
      <c r="U1" s="16" t="inlineStr">
        <is>
          <t>investment_url</t>
        </is>
      </c>
      <c r="V1" s="16" t="inlineStr">
        <is>
          <t>announced_url</t>
        </is>
      </c>
      <c r="W1" s="16" t="inlineStr">
        <is>
          <t>under_construction_url</t>
        </is>
      </c>
      <c r="X1" s="16" t="inlineStr">
        <is>
          <t>operational_url</t>
        </is>
      </c>
      <c r="Y1" s="16" t="inlineStr">
        <is>
          <t>project_id</t>
        </is>
      </c>
    </row>
    <row r="2">
      <c r="A2" t="inlineStr">
        <is>
          <t>aehra</t>
        </is>
      </c>
      <c r="B2" t="inlineStr">
        <is>
          <t>IT</t>
        </is>
      </c>
      <c r="C2" t="inlineStr">
        <is>
          <t>Mosciano Sant'Angelo</t>
        </is>
      </c>
      <c r="D2" t="inlineStr">
        <is>
          <t>vehicle</t>
        </is>
      </c>
      <c r="E2" t="inlineStr">
        <is>
          <t>electric</t>
        </is>
      </c>
      <c r="F2" t="n">
        <v>1</v>
      </c>
      <c r="G2" t="inlineStr">
        <is>
          <t>announced</t>
        </is>
      </c>
      <c r="H2" t="inlineStr"/>
      <c r="I2" t="inlineStr"/>
      <c r="J2" t="n">
        <v>540000000</v>
      </c>
      <c r="K2" t="n">
        <v>540000000</v>
      </c>
      <c r="L2" t="b">
        <v>0</v>
      </c>
      <c r="M2" t="inlineStr">
        <is>
          <t>2023-12</t>
        </is>
      </c>
      <c r="N2" t="inlineStr"/>
      <c r="O2" t="inlineStr"/>
      <c r="P2" t="b">
        <v>0</v>
      </c>
      <c r="Q2" t="b">
        <v>0</v>
      </c>
      <c r="R2" t="b">
        <v>0</v>
      </c>
      <c r="S2">
        <f>HYPERLINK("https://www.abruzzospeciale.it/2023/12/28/laehra-investe-nella-zes-di-mosciano-in-previsione-500-posti-di-lavoro/", "source")</f>
        <v/>
      </c>
      <c r="T2" t="inlineStr"/>
      <c r="U2">
        <f>HYPERLINK("https://www.abruzzospeciale.it/2023/12/28/laehra-investe-nella-zes-di-mosciano-in-previsione-500-posti-di-lavoro/", "source")</f>
        <v/>
      </c>
      <c r="V2">
        <f>HYPERLINK("https://www.abruzzospeciale.it/2023/12/28/laehra-investe-nella-zes-di-mosciano-in-previsione-500-posti-di-lavoro/", "source")</f>
        <v/>
      </c>
      <c r="W2" t="inlineStr"/>
      <c r="X2" t="inlineStr"/>
      <c r="Y2" t="inlineStr">
        <is>
          <t>0bc728c4-fdf6-5bf7-b3a3-eaa11776a961</t>
        </is>
      </c>
    </row>
    <row r="3">
      <c r="A3" t="inlineStr">
        <is>
          <t>audi</t>
        </is>
      </c>
      <c r="B3" t="inlineStr">
        <is>
          <t>BE</t>
        </is>
      </c>
      <c r="C3" t="inlineStr">
        <is>
          <t>Arrondissement Brussel-Hoofdstad</t>
        </is>
      </c>
      <c r="D3" t="inlineStr">
        <is>
          <t>vehicle</t>
        </is>
      </c>
      <c r="E3" t="inlineStr">
        <is>
          <t>electric</t>
        </is>
      </c>
      <c r="F3" t="n">
        <v>1</v>
      </c>
      <c r="G3" t="inlineStr">
        <is>
          <t>cancelled</t>
        </is>
      </c>
      <c r="H3" t="n">
        <v>80000</v>
      </c>
      <c r="I3" t="n">
        <v>80000</v>
      </c>
      <c r="J3" t="n">
        <v>160000000</v>
      </c>
      <c r="K3" t="n">
        <v>160000000</v>
      </c>
      <c r="L3" t="b">
        <v>1</v>
      </c>
      <c r="M3" t="inlineStr">
        <is>
          <t>2016-04</t>
        </is>
      </c>
      <c r="N3" t="inlineStr"/>
      <c r="O3" t="inlineStr"/>
      <c r="P3" t="b">
        <v>0</v>
      </c>
      <c r="Q3" t="b">
        <v>0</v>
      </c>
      <c r="R3" t="b">
        <v>0</v>
      </c>
      <c r="S3">
        <f>HYPERLINK("www.placeholder.com", "source")</f>
        <v/>
      </c>
      <c r="T3">
        <f>HYPERLINK("www.placeholder.com", "source")</f>
        <v/>
      </c>
      <c r="U3">
        <f>HYPERLINK("www.placeholder.com", "source")</f>
        <v/>
      </c>
      <c r="V3">
        <f>HYPERLINK("https://www.electrive.com/2016/04/08/audi-tesla-rampini-andorra-diesel-australia/", "source")</f>
        <v/>
      </c>
      <c r="W3" t="inlineStr"/>
      <c r="X3" t="inlineStr"/>
      <c r="Y3" t="inlineStr">
        <is>
          <t>72f60389-27c4-5075-b572-b6994992f5f9</t>
        </is>
      </c>
    </row>
    <row r="4">
      <c r="A4" t="inlineStr">
        <is>
          <t>audi</t>
        </is>
      </c>
      <c r="B4" t="inlineStr">
        <is>
          <t>DE</t>
        </is>
      </c>
      <c r="C4" t="inlineStr">
        <is>
          <t>Ingolstadt</t>
        </is>
      </c>
      <c r="D4" t="inlineStr">
        <is>
          <t>vehicle</t>
        </is>
      </c>
      <c r="E4" t="inlineStr">
        <is>
          <t>electric</t>
        </is>
      </c>
      <c r="F4" t="n">
        <v>1</v>
      </c>
      <c r="G4" t="inlineStr">
        <is>
          <t>operational</t>
        </is>
      </c>
      <c r="H4" t="n">
        <v>20000</v>
      </c>
      <c r="I4" t="n">
        <v>20000</v>
      </c>
      <c r="J4" t="n">
        <v>100000000</v>
      </c>
      <c r="K4" t="n">
        <v>100000000</v>
      </c>
      <c r="L4" t="b">
        <v>0</v>
      </c>
      <c r="M4" t="inlineStr">
        <is>
          <t>2021-01</t>
        </is>
      </c>
      <c r="N4" t="inlineStr">
        <is>
          <t>2021-01</t>
        </is>
      </c>
      <c r="O4" t="inlineStr">
        <is>
          <t>2024-01</t>
        </is>
      </c>
      <c r="P4" t="b">
        <v>1</v>
      </c>
      <c r="Q4" t="b">
        <v>1</v>
      </c>
      <c r="R4" t="b">
        <v>0</v>
      </c>
      <c r="S4">
        <f>HYPERLINK("www.placeholder.com", "source")</f>
        <v/>
      </c>
      <c r="T4">
        <f>HYPERLINK("www.placeholder.com", "source")</f>
        <v/>
      </c>
      <c r="U4">
        <f>HYPERLINK("https://www.just-auto.com/news/audi-opens-vehicle-safety-centre/", "source")</f>
        <v/>
      </c>
      <c r="V4" t="inlineStr"/>
      <c r="W4" t="inlineStr"/>
      <c r="X4">
        <f>HYPERLINK("www.placeholder.com", "source")</f>
        <v/>
      </c>
      <c r="Y4" t="inlineStr">
        <is>
          <t>318375f1-8e1f-5e1c-adc8-26827396c806</t>
        </is>
      </c>
    </row>
    <row r="5">
      <c r="A5" t="inlineStr">
        <is>
          <t>audi</t>
        </is>
      </c>
      <c r="B5" t="inlineStr">
        <is>
          <t>DE</t>
        </is>
      </c>
      <c r="C5" t="inlineStr">
        <is>
          <t>Neckarsulm</t>
        </is>
      </c>
      <c r="D5" t="inlineStr">
        <is>
          <t>vehicle</t>
        </is>
      </c>
      <c r="E5" t="inlineStr">
        <is>
          <t>electric</t>
        </is>
      </c>
      <c r="F5" t="n">
        <v>1</v>
      </c>
      <c r="G5" t="inlineStr">
        <is>
          <t>operational</t>
        </is>
      </c>
      <c r="H5" t="n">
        <v>40000</v>
      </c>
      <c r="I5" t="n">
        <v>40000</v>
      </c>
      <c r="J5" t="n">
        <v>80000000</v>
      </c>
      <c r="K5" t="n">
        <v>80000000</v>
      </c>
      <c r="L5" t="b">
        <v>1</v>
      </c>
      <c r="M5" t="inlineStr">
        <is>
          <t>2017-06</t>
        </is>
      </c>
      <c r="N5" t="inlineStr">
        <is>
          <t>2017-06</t>
        </is>
      </c>
      <c r="O5" t="inlineStr">
        <is>
          <t>2020-06</t>
        </is>
      </c>
      <c r="P5" t="b">
        <v>1</v>
      </c>
      <c r="Q5" t="b">
        <v>1</v>
      </c>
      <c r="R5" t="b">
        <v>0</v>
      </c>
      <c r="S5">
        <f>HYPERLINK("www.placeholder.com", "source")</f>
        <v/>
      </c>
      <c r="T5">
        <f>HYPERLINK("www.placeholder.com", "source")</f>
        <v/>
      </c>
      <c r="U5">
        <f>HYPERLINK("www.placeholder.com", "source")</f>
        <v/>
      </c>
      <c r="V5" t="inlineStr"/>
      <c r="W5" t="inlineStr"/>
      <c r="X5">
        <f>HYPERLINK("www.placeholder.com", "source")</f>
        <v/>
      </c>
      <c r="Y5" t="inlineStr">
        <is>
          <t>1751b9ed-efe4-586f-9daa-1865eff86071</t>
        </is>
      </c>
    </row>
    <row r="6">
      <c r="A6" t="inlineStr">
        <is>
          <t>audi</t>
        </is>
      </c>
      <c r="B6" t="inlineStr">
        <is>
          <t>HU</t>
        </is>
      </c>
      <c r="C6" t="inlineStr">
        <is>
          <t>Győr-Moson-Sopron</t>
        </is>
      </c>
      <c r="D6" t="inlineStr">
        <is>
          <t>vehicle</t>
        </is>
      </c>
      <c r="E6" t="inlineStr">
        <is>
          <t>electric</t>
        </is>
      </c>
      <c r="F6" t="n">
        <v>1</v>
      </c>
      <c r="G6" t="inlineStr">
        <is>
          <t>operational</t>
        </is>
      </c>
      <c r="H6" t="n">
        <v>40000</v>
      </c>
      <c r="I6" t="n">
        <v>40000</v>
      </c>
      <c r="J6" t="n">
        <v>126000000</v>
      </c>
      <c r="K6" t="n">
        <v>126000000</v>
      </c>
      <c r="L6" t="b">
        <v>0</v>
      </c>
      <c r="M6" t="inlineStr">
        <is>
          <t>2019-07</t>
        </is>
      </c>
      <c r="N6" t="inlineStr">
        <is>
          <t>2021-12</t>
        </is>
      </c>
      <c r="O6" t="inlineStr">
        <is>
          <t>2024-12</t>
        </is>
      </c>
      <c r="P6" t="b">
        <v>0</v>
      </c>
      <c r="Q6" t="b">
        <v>1</v>
      </c>
      <c r="R6" t="b">
        <v>0</v>
      </c>
      <c r="S6">
        <f>HYPERLINK("www.placeholder.com", "source")</f>
        <v/>
      </c>
      <c r="T6">
        <f>HYPERLINK("www.placeholder.com", "source")</f>
        <v/>
      </c>
      <c r="U6">
        <f>HYPERLINK("https://industryeurope.com/sectors/transportation/audi-invests-e126m-in-gyor-hungary-plant/?utm_source=chatgpt.com", "source")</f>
        <v/>
      </c>
      <c r="V6">
        <f>HYPERLINK("https://industryeurope.com/sectors/transportation/audi-invests-e126m-in-gyor-hungary-plant/?utm_source=chatgpt.com", "source")</f>
        <v/>
      </c>
      <c r="W6" t="inlineStr"/>
      <c r="X6">
        <f>HYPERLINK("www.placeholder.com", "source")</f>
        <v/>
      </c>
      <c r="Y6" t="inlineStr">
        <is>
          <t>33f0261c-2068-58e3-b6de-7de3feedf15d</t>
        </is>
      </c>
    </row>
    <row r="7">
      <c r="A7" t="inlineStr">
        <is>
          <t>b on</t>
        </is>
      </c>
      <c r="B7" t="inlineStr">
        <is>
          <t>DE</t>
        </is>
      </c>
      <c r="C7" t="inlineStr">
        <is>
          <t>Düren</t>
        </is>
      </c>
      <c r="D7" t="inlineStr">
        <is>
          <t>vehicle</t>
        </is>
      </c>
      <c r="E7" t="inlineStr">
        <is>
          <t>electric</t>
        </is>
      </c>
      <c r="F7" t="n">
        <v>1</v>
      </c>
      <c r="G7" t="inlineStr">
        <is>
          <t>operational</t>
        </is>
      </c>
      <c r="H7" t="n">
        <v>30000</v>
      </c>
      <c r="I7" t="n">
        <v>30000</v>
      </c>
      <c r="J7" t="n">
        <v>165000000</v>
      </c>
      <c r="K7" t="n">
        <v>165000000</v>
      </c>
      <c r="L7" t="b">
        <v>1</v>
      </c>
      <c r="M7" t="inlineStr">
        <is>
          <t>2020-01</t>
        </is>
      </c>
      <c r="N7" t="inlineStr">
        <is>
          <t>2020-01</t>
        </is>
      </c>
      <c r="O7" t="inlineStr">
        <is>
          <t>2023-01</t>
        </is>
      </c>
      <c r="P7" t="b">
        <v>1</v>
      </c>
      <c r="Q7" t="b">
        <v>1</v>
      </c>
      <c r="R7" t="b">
        <v>0</v>
      </c>
      <c r="S7">
        <f>HYPERLINK("https://www.electrive.com/2023/01/27/streetscooter-successor-b-on-hires-hofmann-as-coo/", "source")</f>
        <v/>
      </c>
      <c r="T7">
        <f>HYPERLINK("https://www.electrive.com/2023/01/27/streetscooter-successor-b-on-hires-hofmann-as-coo/", "source")</f>
        <v/>
      </c>
      <c r="U7">
        <f>HYPERLINK("https://www.electrive.com/2023/01/27/streetscooter-successor-b-on-hires-hofmann-as-coo/", "source")</f>
        <v/>
      </c>
      <c r="V7" t="inlineStr"/>
      <c r="W7" t="inlineStr"/>
      <c r="X7">
        <f>HYPERLINK("https://www.electrive.com/2023/01/27/streetscooter-successor-b-on-hires-hofmann-as-coo/", "source")</f>
        <v/>
      </c>
      <c r="Y7" t="inlineStr">
        <is>
          <t>18a11d8d-d7d6-5552-ab00-c2f31a2945ed</t>
        </is>
      </c>
    </row>
    <row r="8">
      <c r="A8" t="inlineStr">
        <is>
          <t>bentley</t>
        </is>
      </c>
      <c r="B8" t="inlineStr">
        <is>
          <t>GB</t>
        </is>
      </c>
      <c r="C8" t="inlineStr">
        <is>
          <t>Cheshire East</t>
        </is>
      </c>
      <c r="D8" t="inlineStr">
        <is>
          <t>vehicle</t>
        </is>
      </c>
      <c r="E8" t="inlineStr">
        <is>
          <t>electric, fossil</t>
        </is>
      </c>
      <c r="F8" t="n">
        <v>1</v>
      </c>
      <c r="G8" t="inlineStr">
        <is>
          <t>under construction</t>
        </is>
      </c>
      <c r="H8" t="inlineStr"/>
      <c r="I8" t="inlineStr"/>
      <c r="J8" t="n">
        <v>39586939</v>
      </c>
      <c r="K8" t="n">
        <v>39586939</v>
      </c>
      <c r="L8" t="b">
        <v>0</v>
      </c>
      <c r="M8" t="inlineStr">
        <is>
          <t>2023-02</t>
        </is>
      </c>
      <c r="N8" t="inlineStr">
        <is>
          <t>2023-02</t>
        </is>
      </c>
      <c r="O8" t="inlineStr">
        <is>
          <t>2026-02</t>
        </is>
      </c>
      <c r="P8" t="b">
        <v>0</v>
      </c>
      <c r="Q8" t="b">
        <v>0</v>
      </c>
      <c r="R8" t="b">
        <v>1</v>
      </c>
      <c r="S8">
        <f>HYPERLINK("https://www.just-auto.com/news/bentley-breaks-ground-on-new-technical-centre-for-bevs/", "source")</f>
        <v/>
      </c>
      <c r="T8" t="inlineStr"/>
      <c r="U8">
        <f>HYPERLINK("https://www.just-auto.com/news/bentley-breaks-ground-on-new-technical-centre-for-bevs/", "source")</f>
        <v/>
      </c>
      <c r="V8">
        <f>HYPERLINK("https://www.just-auto.com/news/bentley-breaks-ground-on-new-technical-centre-for-bevs/", "source")</f>
        <v/>
      </c>
      <c r="W8">
        <f>HYPERLINK("https://www.just-auto.com/news/bentley-breaks-ground-on-new-technical-centre-for-bevs/", "source")</f>
        <v/>
      </c>
      <c r="X8" t="inlineStr"/>
      <c r="Y8" t="inlineStr">
        <is>
          <t>bcf96a6c-4d48-5115-bf8b-c3133aa20170</t>
        </is>
      </c>
    </row>
    <row r="9">
      <c r="A9" t="inlineStr">
        <is>
          <t>bmw</t>
        </is>
      </c>
      <c r="B9" t="inlineStr">
        <is>
          <t>DE</t>
        </is>
      </c>
      <c r="C9" t="inlineStr">
        <is>
          <t>Dingolfing</t>
        </is>
      </c>
      <c r="D9" t="inlineStr">
        <is>
          <t>vehicle</t>
        </is>
      </c>
      <c r="E9" t="inlineStr">
        <is>
          <t>electric</t>
        </is>
      </c>
      <c r="F9" t="n">
        <v>1</v>
      </c>
      <c r="G9" t="inlineStr">
        <is>
          <t>operational</t>
        </is>
      </c>
      <c r="H9" t="n">
        <v>20000</v>
      </c>
      <c r="I9" t="n">
        <v>20000</v>
      </c>
      <c r="J9" t="n">
        <v>400000000</v>
      </c>
      <c r="K9" t="n">
        <v>400000000</v>
      </c>
      <c r="L9" t="b">
        <v>0</v>
      </c>
      <c r="M9" t="inlineStr">
        <is>
          <t>2019-12</t>
        </is>
      </c>
      <c r="N9" t="inlineStr">
        <is>
          <t>2019-12</t>
        </is>
      </c>
      <c r="O9" t="inlineStr">
        <is>
          <t>2021-02</t>
        </is>
      </c>
      <c r="P9" t="b">
        <v>0</v>
      </c>
      <c r="Q9" t="b">
        <v>0</v>
      </c>
      <c r="R9" t="b">
        <v>0</v>
      </c>
      <c r="S9">
        <f>HYPERLINK("https://www.electrive.com/2021/02/21/bmw-to-double-plug-in-vehicle-production-at-dingolfing-plant/", "source")</f>
        <v/>
      </c>
      <c r="T9">
        <f>HYPERLINK("https://www.electrive.com/2021/02/21/bmw-to-double-plug-in-vehicle-production-at-dingolfing-plant/", "source")</f>
        <v/>
      </c>
      <c r="U9">
        <f>HYPERLINK("https://www.press.bmwgroup.com/global/article/detail/T0303346EN/bmw-group-invests-400-million-euros-in-plant-dingolfing-for-bmw-inext?language=en&amp;utm_source=chatgpt.com", "source")</f>
        <v/>
      </c>
      <c r="V9">
        <f>HYPERLINK("https://www.press.bmwgroup.com/global/article/detail/T0303346EN/bmw-group-invests-400-million-euros-in-plant-dingolfing-for-bmw-inext?language=en&amp;utm_source=chatgpt.com", "source")</f>
        <v/>
      </c>
      <c r="W9">
        <f>HYPERLINK("https://www.press.bmwgroup.com/global/article/detail/T0303346EN/bmw-group-invests-400-million-euros-in-plant-dingolfing-for-bmw-inext?language=en&amp;utm_source=chatgpt.com", "source")</f>
        <v/>
      </c>
      <c r="X9">
        <f>HYPERLINK("https://www.electrive.com/2021/02/21/bmw-to-double-plug-in-vehicle-production-at-dingolfing-plant/", "source")</f>
        <v/>
      </c>
      <c r="Y9" t="inlineStr">
        <is>
          <t>d9373345-9500-5e3a-80b8-7311eaa846b7</t>
        </is>
      </c>
    </row>
    <row r="10">
      <c r="A10" t="inlineStr">
        <is>
          <t>bmw</t>
        </is>
      </c>
      <c r="B10" t="inlineStr">
        <is>
          <t>DE</t>
        </is>
      </c>
      <c r="C10" t="inlineStr">
        <is>
          <t>Dingolfing</t>
        </is>
      </c>
      <c r="D10" t="inlineStr">
        <is>
          <t>vehicle</t>
        </is>
      </c>
      <c r="E10" t="inlineStr">
        <is>
          <t>electric</t>
        </is>
      </c>
      <c r="F10" t="n">
        <v>2</v>
      </c>
      <c r="G10" t="inlineStr">
        <is>
          <t>operational</t>
        </is>
      </c>
      <c r="H10" t="n">
        <v>160000</v>
      </c>
      <c r="I10" t="n">
        <v>180000</v>
      </c>
      <c r="J10" t="n">
        <v>1000000000</v>
      </c>
      <c r="K10" t="n">
        <v>1400000000</v>
      </c>
      <c r="L10" t="b">
        <v>0</v>
      </c>
      <c r="M10" t="inlineStr">
        <is>
          <t>2023-07</t>
        </is>
      </c>
      <c r="N10" t="inlineStr">
        <is>
          <t>2023-07</t>
        </is>
      </c>
      <c r="O10" t="inlineStr">
        <is>
          <t>2024-12</t>
        </is>
      </c>
      <c r="P10" t="b">
        <v>0</v>
      </c>
      <c r="Q10" t="b">
        <v>0</v>
      </c>
      <c r="R10" t="b">
        <v>0</v>
      </c>
      <c r="S10">
        <f>HYPERLINK("www.placeholder.com", "source")</f>
        <v/>
      </c>
      <c r="T10">
        <f>HYPERLINK("www.placeholder.com", "source")</f>
        <v/>
      </c>
      <c r="U10">
        <f>HYPERLINK("https://www.electrive.com/2023/07/24/bmw-i5-rolls-off-production-line-in-dingolfing/", "source")</f>
        <v/>
      </c>
      <c r="V10">
        <f>HYPERLINK("https://www.electrive.com/2023/07/24/bmw-i5-rolls-off-production-line-in-dingolfing/", "source")</f>
        <v/>
      </c>
      <c r="W10">
        <f>HYPERLINK("https://www.electrive.com/2023/07/24/bmw-i5-rolls-off-production-line-in-dingolfing/", "source")</f>
        <v/>
      </c>
      <c r="X10">
        <f>HYPERLINK("www.placeholder.com", "source")</f>
        <v/>
      </c>
      <c r="Y10" t="inlineStr">
        <is>
          <t>d9373345-9500-5e3a-80b8-7311eaa846b7</t>
        </is>
      </c>
    </row>
    <row r="11">
      <c r="A11" t="inlineStr">
        <is>
          <t>bmw</t>
        </is>
      </c>
      <c r="B11" t="inlineStr">
        <is>
          <t>DE</t>
        </is>
      </c>
      <c r="C11" t="inlineStr">
        <is>
          <t>Leipzig</t>
        </is>
      </c>
      <c r="D11" t="inlineStr">
        <is>
          <t>vehicle</t>
        </is>
      </c>
      <c r="E11" t="inlineStr">
        <is>
          <t>electric, fossil</t>
        </is>
      </c>
      <c r="F11" t="n">
        <v>1</v>
      </c>
      <c r="G11" t="inlineStr">
        <is>
          <t>operational</t>
        </is>
      </c>
      <c r="H11" t="n">
        <v>80000</v>
      </c>
      <c r="I11" t="n">
        <v>80000</v>
      </c>
      <c r="J11" t="n">
        <v>392000000</v>
      </c>
      <c r="K11" t="n">
        <v>392000000</v>
      </c>
      <c r="L11" t="b">
        <v>0</v>
      </c>
      <c r="M11" t="inlineStr">
        <is>
          <t>2010-11</t>
        </is>
      </c>
      <c r="N11" t="inlineStr">
        <is>
          <t>2010-11</t>
        </is>
      </c>
      <c r="O11" t="inlineStr">
        <is>
          <t>2015-12</t>
        </is>
      </c>
      <c r="P11" t="b">
        <v>0</v>
      </c>
      <c r="Q11" t="b">
        <v>0</v>
      </c>
      <c r="R11" t="b">
        <v>0</v>
      </c>
      <c r="S11">
        <f>HYPERLINK("www.placeholder.com", "source")</f>
        <v/>
      </c>
      <c r="T11">
        <f>HYPERLINK("www.placeholder.com", "source")</f>
        <v/>
      </c>
      <c r="U11">
        <f>HYPERLINK("https://www.electrive.com/2019/07/30/bmw-loses-appeal-for-more-government-funding/", "source")</f>
        <v/>
      </c>
      <c r="V11">
        <f>HYPERLINK("https://www.press.bmwgroup.com/usa/article/detail/T0088718EN_US/bmw-group-builds-mobility-of-the-future-in-leipzig-%E2%82%AC-400-million-investment-in-megacity-vehicle-production-bmw-group-to-create-800-jobs?language=en_US&amp;utm_source=chatgpt.com", "source")</f>
        <v/>
      </c>
      <c r="W11">
        <f>HYPERLINK("https://www.press.bmwgroup.com/usa/article/detail/T0088718EN_US/bmw-group-builds-mobility-of-the-future-in-leipzig-%E2%82%AC-400-million-investment-in-megacity-vehicle-production-bmw-group-to-create-800-jobs?language=en_US&amp;utm_source=chatgpt.com", "source")</f>
        <v/>
      </c>
      <c r="X11">
        <f>HYPERLINK("www.placeholder.com", "source")</f>
        <v/>
      </c>
      <c r="Y11" t="inlineStr">
        <is>
          <t>763c0003-024a-5daa-b621-949c3a9cc7d0</t>
        </is>
      </c>
    </row>
    <row r="12">
      <c r="A12" t="inlineStr">
        <is>
          <t>bmw</t>
        </is>
      </c>
      <c r="B12" t="inlineStr">
        <is>
          <t>DE</t>
        </is>
      </c>
      <c r="C12" t="inlineStr">
        <is>
          <t>Leipzig</t>
        </is>
      </c>
      <c r="D12" t="inlineStr">
        <is>
          <t>vehicle</t>
        </is>
      </c>
      <c r="E12" t="inlineStr">
        <is>
          <t>electric, fossil</t>
        </is>
      </c>
      <c r="F12" t="n">
        <v>2</v>
      </c>
      <c r="G12" t="inlineStr">
        <is>
          <t>operational</t>
        </is>
      </c>
      <c r="H12" t="n">
        <v>0</v>
      </c>
      <c r="I12" t="n">
        <v>40000</v>
      </c>
      <c r="J12" t="n">
        <v>800000000</v>
      </c>
      <c r="K12" t="n">
        <v>1192000000</v>
      </c>
      <c r="L12" t="b">
        <v>0</v>
      </c>
      <c r="M12" t="inlineStr">
        <is>
          <t>2018-05</t>
        </is>
      </c>
      <c r="N12" t="inlineStr">
        <is>
          <t>2021-03</t>
        </is>
      </c>
      <c r="O12" t="inlineStr">
        <is>
          <t>2024-03</t>
        </is>
      </c>
      <c r="P12" t="b">
        <v>0</v>
      </c>
      <c r="Q12" t="b">
        <v>1</v>
      </c>
      <c r="R12" t="b">
        <v>0</v>
      </c>
      <c r="S12">
        <f>HYPERLINK("www.placeholder.com", "source")</f>
        <v/>
      </c>
      <c r="T12">
        <f>HYPERLINK("www.placeholder.com", "source")</f>
        <v/>
      </c>
      <c r="U12">
        <f>HYPERLINK("https://www.just-auto.com/news/leipzig-starts-on-electric-countryman/", "source")</f>
        <v/>
      </c>
      <c r="V12">
        <f>HYPERLINK("https://www.electrive.com/2018/05/24/bmw-expands-leipzig-factory-to-200-bmw-i-models-daily/", "source")</f>
        <v/>
      </c>
      <c r="W12" t="inlineStr"/>
      <c r="X12">
        <f>HYPERLINK("https://www.visit-bmwgroup.com/en/the-bmw-group-plant-in-leipzig-starts-production-of-the-mini-countryman-electric/", "source")</f>
        <v/>
      </c>
      <c r="Y12" t="inlineStr">
        <is>
          <t>763c0003-024a-5daa-b621-949c3a9cc7d0</t>
        </is>
      </c>
    </row>
    <row r="13">
      <c r="A13" t="inlineStr">
        <is>
          <t>bmw</t>
        </is>
      </c>
      <c r="B13" t="inlineStr">
        <is>
          <t>DE</t>
        </is>
      </c>
      <c r="C13" t="inlineStr">
        <is>
          <t>Munich</t>
        </is>
      </c>
      <c r="D13" t="inlineStr">
        <is>
          <t>vehicle</t>
        </is>
      </c>
      <c r="E13" t="inlineStr">
        <is>
          <t>electric, hydrogen</t>
        </is>
      </c>
      <c r="F13" t="n">
        <v>1</v>
      </c>
      <c r="G13" t="inlineStr">
        <is>
          <t>operational</t>
        </is>
      </c>
      <c r="H13" t="n">
        <v>40000</v>
      </c>
      <c r="I13" t="n">
        <v>40000</v>
      </c>
      <c r="J13" t="n">
        <v>220000000</v>
      </c>
      <c r="K13" t="n">
        <v>220000000</v>
      </c>
      <c r="L13" t="b">
        <v>1</v>
      </c>
      <c r="M13" t="inlineStr">
        <is>
          <t>2012-06</t>
        </is>
      </c>
      <c r="N13" t="inlineStr">
        <is>
          <t>2012-06</t>
        </is>
      </c>
      <c r="O13" t="inlineStr">
        <is>
          <t>2015-06</t>
        </is>
      </c>
      <c r="P13" t="b">
        <v>1</v>
      </c>
      <c r="Q13" t="b">
        <v>1</v>
      </c>
      <c r="R13" t="b">
        <v>0</v>
      </c>
      <c r="S13">
        <f>HYPERLINK("www.placeholder.com", "source")</f>
        <v/>
      </c>
      <c r="T13">
        <f>HYPERLINK("www.placeholder.com", "source")</f>
        <v/>
      </c>
      <c r="U13">
        <f>HYPERLINK("www.placeholder.com", "source")</f>
        <v/>
      </c>
      <c r="V13" t="inlineStr"/>
      <c r="W13" t="inlineStr"/>
      <c r="X13">
        <f>HYPERLINK("www.placeholder.com", "source")</f>
        <v/>
      </c>
      <c r="Y13" t="inlineStr">
        <is>
          <t>afda602b-9bd5-55c2-9a85-fe15887ea212</t>
        </is>
      </c>
    </row>
    <row r="14">
      <c r="A14" t="inlineStr">
        <is>
          <t>bmw</t>
        </is>
      </c>
      <c r="B14" t="inlineStr">
        <is>
          <t>DE</t>
        </is>
      </c>
      <c r="C14" t="inlineStr">
        <is>
          <t>Munich</t>
        </is>
      </c>
      <c r="D14" t="inlineStr">
        <is>
          <t>vehicle</t>
        </is>
      </c>
      <c r="E14" t="inlineStr">
        <is>
          <t>electric, hydrogen</t>
        </is>
      </c>
      <c r="F14" t="n">
        <v>2</v>
      </c>
      <c r="G14" t="inlineStr">
        <is>
          <t>operational</t>
        </is>
      </c>
      <c r="H14" t="n">
        <v>120000</v>
      </c>
      <c r="I14" t="n">
        <v>160000</v>
      </c>
      <c r="J14" t="n">
        <v>200000000</v>
      </c>
      <c r="K14" t="n">
        <v>420000000</v>
      </c>
      <c r="L14" t="b">
        <v>0</v>
      </c>
      <c r="M14" t="inlineStr">
        <is>
          <t>2018-12</t>
        </is>
      </c>
      <c r="N14" t="inlineStr">
        <is>
          <t>2019-06</t>
        </is>
      </c>
      <c r="O14" t="inlineStr">
        <is>
          <t>2022-06</t>
        </is>
      </c>
      <c r="P14" t="b">
        <v>0</v>
      </c>
      <c r="Q14" t="b">
        <v>1</v>
      </c>
      <c r="R14" t="b">
        <v>0</v>
      </c>
      <c r="S14">
        <f>HYPERLINK("www.placeholder.com", "source")</f>
        <v/>
      </c>
      <c r="T14">
        <f>HYPERLINK("www.placeholder.com", "source")</f>
        <v/>
      </c>
      <c r="U14">
        <f>HYPERLINK("https://www.electrive.com/2018/12/11/bmw-puts-200-million-into-munich-plant-ready-for-their-i4/", "source")</f>
        <v/>
      </c>
      <c r="V14">
        <f>HYPERLINK("https://www.electrive.com/2018/12/11/bmw-puts-200-million-into-munich-plant-ready-for-their-i4/", "source")</f>
        <v/>
      </c>
      <c r="W14" t="inlineStr"/>
      <c r="X14">
        <f>HYPERLINK("www.placeholder.com", "source")</f>
        <v/>
      </c>
      <c r="Y14" t="inlineStr">
        <is>
          <t>afda602b-9bd5-55c2-9a85-fe15887ea212</t>
        </is>
      </c>
    </row>
    <row r="15">
      <c r="A15" t="inlineStr">
        <is>
          <t>bmw</t>
        </is>
      </c>
      <c r="B15" t="inlineStr">
        <is>
          <t>DE</t>
        </is>
      </c>
      <c r="C15" t="inlineStr">
        <is>
          <t>Munich</t>
        </is>
      </c>
      <c r="D15" t="inlineStr">
        <is>
          <t>vehicle</t>
        </is>
      </c>
      <c r="E15" t="inlineStr">
        <is>
          <t>electric, hydrogen</t>
        </is>
      </c>
      <c r="F15" t="n">
        <v>3</v>
      </c>
      <c r="G15" t="inlineStr">
        <is>
          <t>under construction</t>
        </is>
      </c>
      <c r="H15" t="inlineStr"/>
      <c r="I15" t="inlineStr"/>
      <c r="J15" t="n">
        <v>650000000</v>
      </c>
      <c r="K15" t="n">
        <v>1070000000</v>
      </c>
      <c r="L15" t="b">
        <v>0</v>
      </c>
      <c r="M15" t="inlineStr">
        <is>
          <t>2023-11</t>
        </is>
      </c>
      <c r="N15" t="inlineStr">
        <is>
          <t>2023-11</t>
        </is>
      </c>
      <c r="O15" t="inlineStr">
        <is>
          <t>2026-11</t>
        </is>
      </c>
      <c r="P15" t="b">
        <v>0</v>
      </c>
      <c r="Q15" t="b">
        <v>0</v>
      </c>
      <c r="R15" t="b">
        <v>1</v>
      </c>
      <c r="S15">
        <f>HYPERLINK("https://www.press.bmwgroup.com/global/article/detail/T0439003EN/transformation-to-e-mobility%3A-bmw-group%E2%80%99s-munich-plant-to-produce-exclusively-all-electric-models-from-the-end-of-2027?language=en&amp;utm_source=chatgpt.com", "source")</f>
        <v/>
      </c>
      <c r="T15" t="inlineStr"/>
      <c r="U15">
        <f>HYPERLINK("https://www.press.bmwgroup.com/global/article/detail/T0439003EN/transformation-to-e-mobility%3A-bmw-group%E2%80%99s-munich-plant-to-produce-exclusively-all-electric-models-from-the-end-of-2027?language=en&amp;utm_source=chatgpt.com", "source")</f>
        <v/>
      </c>
      <c r="V15">
        <f>HYPERLINK("https://www.just-auto.com/news/bmw-ends-german-ice-production/", "source")</f>
        <v/>
      </c>
      <c r="W15">
        <f>HYPERLINK("https://www.just-auto.com/comment/global-capacity-crunch-cop28-preview-more-uk-evs-the-week/", "source")</f>
        <v/>
      </c>
      <c r="X15" t="inlineStr"/>
      <c r="Y15" t="inlineStr">
        <is>
          <t>afda602b-9bd5-55c2-9a85-fe15887ea212</t>
        </is>
      </c>
    </row>
    <row r="16">
      <c r="A16" t="inlineStr">
        <is>
          <t>bmw</t>
        </is>
      </c>
      <c r="B16" t="inlineStr">
        <is>
          <t>DE</t>
        </is>
      </c>
      <c r="C16" t="inlineStr">
        <is>
          <t>Regensburg</t>
        </is>
      </c>
      <c r="D16" t="inlineStr">
        <is>
          <t>vehicle</t>
        </is>
      </c>
      <c r="E16" t="inlineStr">
        <is>
          <t>electric</t>
        </is>
      </c>
      <c r="F16" t="n">
        <v>1</v>
      </c>
      <c r="G16" t="inlineStr">
        <is>
          <t>operational</t>
        </is>
      </c>
      <c r="H16" t="n">
        <v>80000</v>
      </c>
      <c r="I16" t="n">
        <v>80000</v>
      </c>
      <c r="J16" t="n">
        <v>440000000</v>
      </c>
      <c r="K16" t="n">
        <v>440000000</v>
      </c>
      <c r="L16" t="b">
        <v>1</v>
      </c>
      <c r="M16" t="inlineStr">
        <is>
          <t>2019-11</t>
        </is>
      </c>
      <c r="N16" t="inlineStr">
        <is>
          <t>2019-11</t>
        </is>
      </c>
      <c r="O16" t="inlineStr">
        <is>
          <t>2022-11</t>
        </is>
      </c>
      <c r="P16" t="b">
        <v>1</v>
      </c>
      <c r="Q16" t="b">
        <v>1</v>
      </c>
      <c r="R16" t="b">
        <v>0</v>
      </c>
      <c r="S16">
        <f>HYPERLINK("www.placeholder.com", "source")</f>
        <v/>
      </c>
      <c r="T16">
        <f>HYPERLINK("www.placeholder.com", "source")</f>
        <v/>
      </c>
      <c r="U16">
        <f>HYPERLINK("www.placeholder.com", "source")</f>
        <v/>
      </c>
      <c r="V16" t="inlineStr"/>
      <c r="W16" t="inlineStr"/>
      <c r="X16">
        <f>HYPERLINK("www.placeholder.com", "source")</f>
        <v/>
      </c>
      <c r="Y16" t="inlineStr">
        <is>
          <t>ce4a102f-752e-5516-a5ce-1a9083f3b492</t>
        </is>
      </c>
    </row>
    <row r="17">
      <c r="A17" t="inlineStr">
        <is>
          <t>bmw</t>
        </is>
      </c>
      <c r="B17" t="inlineStr">
        <is>
          <t>GB</t>
        </is>
      </c>
      <c r="C17" t="inlineStr">
        <is>
          <t>Oxfordshire</t>
        </is>
      </c>
      <c r="D17" t="inlineStr">
        <is>
          <t>vehicle</t>
        </is>
      </c>
      <c r="E17" t="inlineStr">
        <is>
          <t>electric, fossil</t>
        </is>
      </c>
      <c r="F17" t="n">
        <v>1</v>
      </c>
      <c r="G17" t="inlineStr">
        <is>
          <t>operational</t>
        </is>
      </c>
      <c r="H17" t="n">
        <v>40000</v>
      </c>
      <c r="I17" t="n">
        <v>40000</v>
      </c>
      <c r="J17" t="n">
        <v>220000000</v>
      </c>
      <c r="K17" t="n">
        <v>220000000</v>
      </c>
      <c r="L17" t="b">
        <v>1</v>
      </c>
      <c r="M17" t="inlineStr">
        <is>
          <t>2016-12</t>
        </is>
      </c>
      <c r="N17" t="inlineStr">
        <is>
          <t>2016-12</t>
        </is>
      </c>
      <c r="O17" t="inlineStr">
        <is>
          <t>2019-12</t>
        </is>
      </c>
      <c r="P17" t="b">
        <v>1</v>
      </c>
      <c r="Q17" t="b">
        <v>1</v>
      </c>
      <c r="R17" t="b">
        <v>0</v>
      </c>
      <c r="S17">
        <f>HYPERLINK("https://www.electrive.com/2023/02/09/bmw-could-get-financial-boost-to-built-electric-mini-in-the-uk/", "source")</f>
        <v/>
      </c>
      <c r="T17">
        <f>HYPERLINK("https://www.electrive.com/2023/02/09/bmw-could-get-financial-boost-to-built-electric-mini-in-the-uk/", "source")</f>
        <v/>
      </c>
      <c r="U17">
        <f>HYPERLINK("https://www.electrive.com/2023/02/09/bmw-could-get-financial-boost-to-built-electric-mini-in-the-uk/", "source")</f>
        <v/>
      </c>
      <c r="V17" t="inlineStr"/>
      <c r="W17" t="inlineStr"/>
      <c r="X17">
        <f>HYPERLINK("www.placeholder.com", "source")</f>
        <v/>
      </c>
      <c r="Y17" t="inlineStr">
        <is>
          <t>474ec8c2-c923-55e9-9407-71ce51007407</t>
        </is>
      </c>
    </row>
    <row r="18">
      <c r="A18" t="inlineStr">
        <is>
          <t>bmw</t>
        </is>
      </c>
      <c r="B18" t="inlineStr">
        <is>
          <t>GB</t>
        </is>
      </c>
      <c r="C18" t="inlineStr">
        <is>
          <t>Oxfordshire</t>
        </is>
      </c>
      <c r="D18" t="inlineStr">
        <is>
          <t>vehicle</t>
        </is>
      </c>
      <c r="E18" t="inlineStr">
        <is>
          <t>electric, fossil</t>
        </is>
      </c>
      <c r="F18" t="n">
        <v>2</v>
      </c>
      <c r="G18" t="inlineStr">
        <is>
          <t>paused</t>
        </is>
      </c>
      <c r="H18" t="n">
        <v>160000</v>
      </c>
      <c r="I18" t="n">
        <v>200000</v>
      </c>
      <c r="J18" t="n">
        <v>718987665</v>
      </c>
      <c r="K18" t="n">
        <v>938987665</v>
      </c>
      <c r="L18" t="b">
        <v>0</v>
      </c>
      <c r="M18" t="inlineStr">
        <is>
          <t>2023-09</t>
        </is>
      </c>
      <c r="N18" t="inlineStr"/>
      <c r="O18" t="inlineStr"/>
      <c r="P18" t="b">
        <v>0</v>
      </c>
      <c r="Q18" t="b">
        <v>0</v>
      </c>
      <c r="R18" t="b">
        <v>0</v>
      </c>
      <c r="S18">
        <f>HYPERLINK("https://www.just-auto.com/news/bmw-halt-oxford-mini/", "source")</f>
        <v/>
      </c>
      <c r="T18">
        <f>HYPERLINK("https://www.theengineer.co.uk/content/news/bmw-investing-over-600m-into-oxford-and-swindon-factories/", "source")</f>
        <v/>
      </c>
      <c r="U18">
        <f>HYPERLINK("https://www.just-auto.com/news/bmw-halt-oxford-mini/", "source")</f>
        <v/>
      </c>
      <c r="V18">
        <f>HYPERLINK("https://www.electrive.com/2023/09/11/mini-factory-in-oxford-to-go-fully-electric/", "source")</f>
        <v/>
      </c>
      <c r="W18" t="inlineStr"/>
      <c r="X18" t="inlineStr"/>
      <c r="Y18" t="inlineStr">
        <is>
          <t>474ec8c2-c923-55e9-9407-71ce51007407</t>
        </is>
      </c>
    </row>
    <row r="19">
      <c r="A19" t="inlineStr">
        <is>
          <t>bmw</t>
        </is>
      </c>
      <c r="B19" t="inlineStr">
        <is>
          <t>GB</t>
        </is>
      </c>
      <c r="C19" t="inlineStr"/>
      <c r="D19" t="inlineStr">
        <is>
          <t>vehicle</t>
        </is>
      </c>
      <c r="E19" t="inlineStr">
        <is>
          <t>electric</t>
        </is>
      </c>
      <c r="F19" t="n">
        <v>1</v>
      </c>
      <c r="G19" t="inlineStr">
        <is>
          <t>operational</t>
        </is>
      </c>
      <c r="H19" t="n">
        <v>0</v>
      </c>
      <c r="I19" t="n">
        <v>0</v>
      </c>
      <c r="J19" t="n">
        <v>0</v>
      </c>
      <c r="K19" t="n">
        <v>0</v>
      </c>
      <c r="L19" t="b">
        <v>1</v>
      </c>
      <c r="M19" t="inlineStr">
        <is>
          <t>2020-12</t>
        </is>
      </c>
      <c r="N19" t="inlineStr">
        <is>
          <t>2020-12</t>
        </is>
      </c>
      <c r="O19" t="inlineStr">
        <is>
          <t>2023-12</t>
        </is>
      </c>
      <c r="P19" t="b">
        <v>1</v>
      </c>
      <c r="Q19" t="b">
        <v>1</v>
      </c>
      <c r="R19" t="b">
        <v>0</v>
      </c>
      <c r="S19">
        <f>HYPERLINK("www.placeholder.com", "source")</f>
        <v/>
      </c>
      <c r="T19">
        <f>HYPERLINK("www.placeholder.com", "source")</f>
        <v/>
      </c>
      <c r="U19">
        <f>HYPERLINK("www.placeholder.com", "source")</f>
        <v/>
      </c>
      <c r="V19" t="inlineStr"/>
      <c r="W19" t="inlineStr"/>
      <c r="X19">
        <f>HYPERLINK("www.placeholder.com", "source")</f>
        <v/>
      </c>
      <c r="Y19" t="inlineStr">
        <is>
          <t>909df65e-53ad-5d11-983c-19d2a628d5f9</t>
        </is>
      </c>
    </row>
    <row r="20">
      <c r="A20" t="inlineStr">
        <is>
          <t>bmw</t>
        </is>
      </c>
      <c r="B20" t="inlineStr">
        <is>
          <t>HU</t>
        </is>
      </c>
      <c r="C20" t="inlineStr">
        <is>
          <t>Hajdú-Bihar</t>
        </is>
      </c>
      <c r="D20" t="inlineStr">
        <is>
          <t>vehicle</t>
        </is>
      </c>
      <c r="E20" t="inlineStr">
        <is>
          <t>electric, fossil</t>
        </is>
      </c>
      <c r="F20" t="n">
        <v>1</v>
      </c>
      <c r="G20" t="inlineStr">
        <is>
          <t>operational</t>
        </is>
      </c>
      <c r="H20" t="n">
        <v>150000</v>
      </c>
      <c r="I20" t="n">
        <v>150000</v>
      </c>
      <c r="J20" t="n">
        <v>1600000000</v>
      </c>
      <c r="K20" t="n">
        <v>1600000000</v>
      </c>
      <c r="L20" t="b">
        <v>0</v>
      </c>
      <c r="M20" t="inlineStr">
        <is>
          <t>2018-07</t>
        </is>
      </c>
      <c r="N20" t="inlineStr">
        <is>
          <t>2022-06</t>
        </is>
      </c>
      <c r="O20" t="inlineStr">
        <is>
          <t>2025-09</t>
        </is>
      </c>
      <c r="P20" t="b">
        <v>0</v>
      </c>
      <c r="Q20" t="b">
        <v>0</v>
      </c>
      <c r="R20" t="b">
        <v>0</v>
      </c>
      <c r="S20">
        <f>HYPERLINK("https://hipa.hu/news/BMW-plant-Debrecen-inaugurated-Hungary-HIPA/", "source")</f>
        <v/>
      </c>
      <c r="T20">
        <f>HYPERLINK("https://hipa.hu/news/BMW-plant-Debrecen-inaugurated-Hungary-HIPA/", "source")</f>
        <v/>
      </c>
      <c r="U20">
        <f>HYPERLINK("https://hipa.hu/news/BMW-plant-Debrecen-inaugurated-Hungary-HIPA/", "source")</f>
        <v/>
      </c>
      <c r="V20">
        <f>HYPERLINK("https://www.electrive.com/2018/07/31/bmw-planning-to-construct-hungary-factory-in-2019/", "source")</f>
        <v/>
      </c>
      <c r="W20">
        <f>HYPERLINK("https://www.electrive.com/2022/06/02/bmw-lays-foundation-for-factory-in-hungary/", "source")</f>
        <v/>
      </c>
      <c r="X20">
        <f>HYPERLINK("https://hipa.hu/news/BMW-plant-Debrecen-inaugurated-Hungary-HIPA/", "source")</f>
        <v/>
      </c>
      <c r="Y20" t="inlineStr">
        <is>
          <t>9834bb41-6146-54d3-a47f-70ffa65a2ae8</t>
        </is>
      </c>
    </row>
    <row r="21">
      <c r="A21" t="inlineStr">
        <is>
          <t>byd</t>
        </is>
      </c>
      <c r="B21" t="inlineStr">
        <is>
          <t>FR</t>
        </is>
      </c>
      <c r="C21" t="inlineStr">
        <is>
          <t>Allonne</t>
        </is>
      </c>
      <c r="D21" t="inlineStr">
        <is>
          <t>vehicle</t>
        </is>
      </c>
      <c r="E21" t="inlineStr">
        <is>
          <t>electric</t>
        </is>
      </c>
      <c r="F21" t="n">
        <v>1</v>
      </c>
      <c r="G21" t="inlineStr">
        <is>
          <t>announced</t>
        </is>
      </c>
      <c r="H21" t="n">
        <v>200</v>
      </c>
      <c r="I21" t="n">
        <v>200</v>
      </c>
      <c r="J21" t="n">
        <v>10000000</v>
      </c>
      <c r="K21" t="n">
        <v>10000000</v>
      </c>
      <c r="L21" t="b">
        <v>0</v>
      </c>
      <c r="M21" t="inlineStr">
        <is>
          <t>2017-03</t>
        </is>
      </c>
      <c r="N21" t="inlineStr"/>
      <c r="O21" t="inlineStr"/>
      <c r="P21" t="b">
        <v>0</v>
      </c>
      <c r="Q21" t="b">
        <v>0</v>
      </c>
      <c r="R21" t="b">
        <v>0</v>
      </c>
      <c r="S21">
        <f>HYPERLINK("https://www.electrive.com/2017/03/27/skoda-byd-california-buick-lexus-thailand/", "source")</f>
        <v/>
      </c>
      <c r="T21">
        <f>HYPERLINK("https://www.electrive.com/2017/03/27/skoda-byd-california-buick-lexus-thailand/", "source")</f>
        <v/>
      </c>
      <c r="U21">
        <f>HYPERLINK("https://www.electrive.com/2017/03/27/skoda-byd-california-buick-lexus-thailand/", "source")</f>
        <v/>
      </c>
      <c r="V21">
        <f>HYPERLINK("https://www.electrive.com/2017/03/27/skoda-byd-california-buick-lexus-thailand/", "source")</f>
        <v/>
      </c>
      <c r="W21" t="inlineStr"/>
      <c r="X21" t="inlineStr"/>
      <c r="Y21" t="inlineStr">
        <is>
          <t>4a2be672-2a9e-5e19-a19c-eadef596ba3c</t>
        </is>
      </c>
    </row>
    <row r="22">
      <c r="A22" t="inlineStr">
        <is>
          <t>byd</t>
        </is>
      </c>
      <c r="B22" t="inlineStr">
        <is>
          <t>HU</t>
        </is>
      </c>
      <c r="C22" t="inlineStr">
        <is>
          <t>Csongrád</t>
        </is>
      </c>
      <c r="D22" t="inlineStr">
        <is>
          <t>vehicle</t>
        </is>
      </c>
      <c r="E22" t="inlineStr">
        <is>
          <t>electric</t>
        </is>
      </c>
      <c r="F22" t="n">
        <v>1</v>
      </c>
      <c r="G22" t="inlineStr">
        <is>
          <t>under construction</t>
        </is>
      </c>
      <c r="H22" t="n">
        <v>150000</v>
      </c>
      <c r="I22" t="n">
        <v>150000</v>
      </c>
      <c r="J22" t="n">
        <v>4000000000</v>
      </c>
      <c r="K22" t="n">
        <v>4000000000</v>
      </c>
      <c r="L22" t="b">
        <v>0</v>
      </c>
      <c r="M22" t="inlineStr">
        <is>
          <t>2023-12</t>
        </is>
      </c>
      <c r="N22" t="inlineStr">
        <is>
          <t>2023-12</t>
        </is>
      </c>
      <c r="O22" t="inlineStr">
        <is>
          <t>2026-12</t>
        </is>
      </c>
      <c r="P22" t="b">
        <v>0</v>
      </c>
      <c r="Q22" t="b">
        <v>0</v>
      </c>
      <c r="R22" t="b">
        <v>1</v>
      </c>
      <c r="S22">
        <f>HYPERLINK("https://www.just-auto.com/news/byd-to-delay-production-in-hungary/", "source")</f>
        <v/>
      </c>
      <c r="T22">
        <f>HYPERLINK("https://www.just-auto.com/news/byd-to-delay-production-in-hungary/", "source")</f>
        <v/>
      </c>
      <c r="U22">
        <f>HYPERLINK("https://www.just-auto.com/news/byd-to-delay-production-in-hungary/", "source")</f>
        <v/>
      </c>
      <c r="V22">
        <f>HYPERLINK("https://www.world-energy.org/article/39203.html", "source")</f>
        <v/>
      </c>
      <c r="W22">
        <f>HYPERLINK("https://www.world-energy.org/article/39203.html", "source")</f>
        <v/>
      </c>
      <c r="X22" t="inlineStr"/>
      <c r="Y22" t="inlineStr">
        <is>
          <t>4a509683-6e2f-502f-873f-9c8b46d1740f</t>
        </is>
      </c>
    </row>
    <row r="23">
      <c r="A23" t="inlineStr">
        <is>
          <t>byd</t>
        </is>
      </c>
      <c r="B23" t="inlineStr">
        <is>
          <t>HU</t>
        </is>
      </c>
      <c r="C23" t="inlineStr">
        <is>
          <t>Csongrád</t>
        </is>
      </c>
      <c r="D23" t="inlineStr">
        <is>
          <t>vehicle</t>
        </is>
      </c>
      <c r="E23" t="inlineStr">
        <is>
          <t>electric</t>
        </is>
      </c>
      <c r="F23" t="n">
        <v>2</v>
      </c>
      <c r="G23" t="inlineStr">
        <is>
          <t>announced</t>
        </is>
      </c>
      <c r="H23" t="n">
        <v>150000</v>
      </c>
      <c r="I23" t="n">
        <v>300000</v>
      </c>
      <c r="J23" t="n">
        <v>0</v>
      </c>
      <c r="K23" t="n">
        <v>4000000000</v>
      </c>
      <c r="L23" t="b">
        <v>0</v>
      </c>
      <c r="M23" t="inlineStr">
        <is>
          <t>2025-07</t>
        </is>
      </c>
      <c r="N23" t="inlineStr"/>
      <c r="O23" t="inlineStr"/>
      <c r="P23" t="b">
        <v>0</v>
      </c>
      <c r="Q23" t="b">
        <v>0</v>
      </c>
      <c r="R23" t="b">
        <v>0</v>
      </c>
      <c r="S23">
        <f>HYPERLINK("https://www.reuters.com/business/autos-transportation/byd-delay-mass-production-new-hungarian-plant-make-fewer-evs-sources-say-2025-07-22/", "source")</f>
        <v/>
      </c>
      <c r="T23">
        <f>HYPERLINK("https://www.reuters.com/business/autos-transportation/byd-delay-mass-production-new-hungarian-plant-make-fewer-evs-sources-say-2025-07-22/", "source")</f>
        <v/>
      </c>
      <c r="U23">
        <f>HYPERLINK("https://www.reuters.com/business/autos-transportation/byd-delay-mass-production-new-hungarian-plant-make-fewer-evs-sources-say-2025-07-22/", "source")</f>
        <v/>
      </c>
      <c r="V23">
        <f>HYPERLINK("https://www.reuters.com/business/autos-transportation/byd-delay-mass-production-new-hungarian-plant-make-fewer-evs-sources-say-2025-07-22/", "source")</f>
        <v/>
      </c>
      <c r="W23" t="inlineStr"/>
      <c r="X23" t="inlineStr"/>
      <c r="Y23" t="inlineStr">
        <is>
          <t>4a509683-6e2f-502f-873f-9c8b46d1740f</t>
        </is>
      </c>
    </row>
    <row r="24">
      <c r="A24" t="inlineStr">
        <is>
          <t>byd</t>
        </is>
      </c>
      <c r="B24" t="inlineStr">
        <is>
          <t>HU</t>
        </is>
      </c>
      <c r="C24" t="inlineStr">
        <is>
          <t>Komárom-Esztergom</t>
        </is>
      </c>
      <c r="D24" t="inlineStr">
        <is>
          <t>vehicle</t>
        </is>
      </c>
      <c r="E24" t="inlineStr">
        <is>
          <t>electric</t>
        </is>
      </c>
      <c r="F24" t="n">
        <v>1</v>
      </c>
      <c r="G24" t="inlineStr">
        <is>
          <t>operational</t>
        </is>
      </c>
      <c r="H24" t="n">
        <v>400</v>
      </c>
      <c r="I24" t="n">
        <v>400</v>
      </c>
      <c r="J24" t="n">
        <v>80164337</v>
      </c>
      <c r="K24" t="n">
        <v>80164337</v>
      </c>
      <c r="L24" t="b">
        <v>0</v>
      </c>
      <c r="M24" t="inlineStr">
        <is>
          <t>2016-07</t>
        </is>
      </c>
      <c r="N24" t="inlineStr">
        <is>
          <t>2016-07</t>
        </is>
      </c>
      <c r="O24" t="inlineStr">
        <is>
          <t>2017-04</t>
        </is>
      </c>
      <c r="P24" t="b">
        <v>0</v>
      </c>
      <c r="Q24" t="b">
        <v>0</v>
      </c>
      <c r="R24" t="b">
        <v>0</v>
      </c>
      <c r="S24">
        <f>HYPERLINK("https://www.electrive.com/2017/04/06/byd-tesla-bosch-daimler-volkswagen-mahindra/", "source")</f>
        <v/>
      </c>
      <c r="T24">
        <f>HYPERLINK("https://www.electrive.com/2017/04/06/byd-tesla-bosch-daimler-volkswagen-mahindra/", "source")</f>
        <v/>
      </c>
      <c r="U24">
        <f>HYPERLINK("https://www.sustainable-bus.com/news/byd-expansion-bus-production-hungary/", "source")</f>
        <v/>
      </c>
      <c r="V24">
        <f>HYPERLINK("https://www.electrive.com/2016/07/27/porsche-solar-impulse-2-mclaren-byd-india-audi-q7-e-tron/", "source")</f>
        <v/>
      </c>
      <c r="W24">
        <f>HYPERLINK("https://www.electrive.com/2016/07/27/porsche-solar-impulse-2-mclaren-byd-india-audi-q7-e-tron/", "source")</f>
        <v/>
      </c>
      <c r="X24">
        <f>HYPERLINK("https://www.electrive.com/2017/04/06/byd-tesla-bosch-daimler-volkswagen-mahindra/", "source")</f>
        <v/>
      </c>
      <c r="Y24" t="inlineStr">
        <is>
          <t>41140c52-225e-5738-beaa-13145ea3cf59</t>
        </is>
      </c>
    </row>
    <row r="25">
      <c r="A25" t="inlineStr">
        <is>
          <t>byd</t>
        </is>
      </c>
      <c r="B25" t="inlineStr">
        <is>
          <t>HU</t>
        </is>
      </c>
      <c r="C25" t="inlineStr">
        <is>
          <t>Komárom-Esztergom</t>
        </is>
      </c>
      <c r="D25" t="inlineStr">
        <is>
          <t>vehicle</t>
        </is>
      </c>
      <c r="E25" t="inlineStr">
        <is>
          <t>electric</t>
        </is>
      </c>
      <c r="F25" t="n">
        <v>2</v>
      </c>
      <c r="G25" t="inlineStr">
        <is>
          <t>operational</t>
        </is>
      </c>
      <c r="H25" t="n">
        <v>600</v>
      </c>
      <c r="I25" t="n">
        <v>1000</v>
      </c>
      <c r="J25" t="n">
        <v>0</v>
      </c>
      <c r="K25" t="n">
        <v>80164337</v>
      </c>
      <c r="L25" t="b">
        <v>0</v>
      </c>
      <c r="M25" t="inlineStr">
        <is>
          <t>2025-07</t>
        </is>
      </c>
      <c r="N25" t="inlineStr">
        <is>
          <t>2025-07</t>
        </is>
      </c>
      <c r="O25" t="inlineStr">
        <is>
          <t>2023-07</t>
        </is>
      </c>
      <c r="P25" t="b">
        <v>0</v>
      </c>
      <c r="Q25" t="b">
        <v>1</v>
      </c>
      <c r="R25" t="b">
        <v>0</v>
      </c>
      <c r="S25">
        <f>HYPERLINK("https://www.electrive.com/2023/11/06/byd-could-soon-build-electric-cars-in-hungary/", "source")</f>
        <v/>
      </c>
      <c r="T25">
        <f>HYPERLINK("https://www.electrive.com/2023/11/06/byd-could-soon-build-electric-cars-in-hungary/", "source")</f>
        <v/>
      </c>
      <c r="U25">
        <f>HYPERLINK("https://www.sustainable-bus.com/news/byd-expansion-bus-production-hungary/", "source")</f>
        <v/>
      </c>
      <c r="V25">
        <f>HYPERLINK("https://www.sustainable-bus.com/news/byd-expansion-bus-production-hungary/", "source")</f>
        <v/>
      </c>
      <c r="W25" t="inlineStr"/>
      <c r="X25">
        <f>HYPERLINK("https://www.electrive.com/2023/07/03/byd-invests-in-battery-assembly-plant-in-hungary/", "source")</f>
        <v/>
      </c>
      <c r="Y25" t="inlineStr">
        <is>
          <t>41140c52-225e-5738-beaa-13145ea3cf59</t>
        </is>
      </c>
    </row>
    <row r="26">
      <c r="A26" t="inlineStr">
        <is>
          <t>chery ebro</t>
        </is>
      </c>
      <c r="B26" t="inlineStr">
        <is>
          <t>ES</t>
        </is>
      </c>
      <c r="C26" t="inlineStr">
        <is>
          <t>Barcelona</t>
        </is>
      </c>
      <c r="D26" t="inlineStr">
        <is>
          <t>vehicle</t>
        </is>
      </c>
      <c r="E26" t="inlineStr">
        <is>
          <t>electric</t>
        </is>
      </c>
      <c r="F26" t="n">
        <v>1</v>
      </c>
      <c r="G26" t="inlineStr">
        <is>
          <t>operational</t>
        </is>
      </c>
      <c r="H26" t="n">
        <v>150000</v>
      </c>
      <c r="I26" t="n">
        <v>150000</v>
      </c>
      <c r="J26" t="n">
        <v>400000000</v>
      </c>
      <c r="K26" t="n">
        <v>400000000</v>
      </c>
      <c r="L26" t="b">
        <v>0</v>
      </c>
      <c r="M26" t="inlineStr">
        <is>
          <t>2024-04</t>
        </is>
      </c>
      <c r="N26" t="inlineStr">
        <is>
          <t>2024-04</t>
        </is>
      </c>
      <c r="O26" t="inlineStr">
        <is>
          <t>2025-11</t>
        </is>
      </c>
      <c r="P26" t="b">
        <v>0</v>
      </c>
      <c r="Q26" t="b">
        <v>1</v>
      </c>
      <c r="R26" t="b">
        <v>0</v>
      </c>
      <c r="S26">
        <f>HYPERLINK("https://english.news.cn/20241125/b1a67c0d3d2041b59daf394903a5ef4e/c.html?utm_source=chatgpt.com", "source")</f>
        <v/>
      </c>
      <c r="T26">
        <f>HYPERLINK("https://english.news.cn/20241125/b1a67c0d3d2041b59daf394903a5ef4e/c.html?utm_source=chatgpt.com", "source")</f>
        <v/>
      </c>
      <c r="U26">
        <f>HYPERLINK("https://catalonia.com/w/chinese-company-chery-chooses-barcelona-for-its-first-electric-car-plant-in-europe?utm_source=chatgpt.com", "source")</f>
        <v/>
      </c>
      <c r="V26">
        <f>HYPERLINK("https://catalonia.com/w/chinese-company-chery-chooses-barcelona-for-its-first-electric-car-plant-in-europe?utm_source=chatgpt.com", "source")</f>
        <v/>
      </c>
      <c r="W26" t="inlineStr"/>
      <c r="X26">
        <f>HYPERLINK("https://english.news.cn/20241125/b1a67c0d3d2041b59daf394903a5ef4e/c.html?utm_source=chatgpt.com", "source")</f>
        <v/>
      </c>
      <c r="Y26" t="inlineStr">
        <is>
          <t>db43fe83-4d7e-57a6-9ec3-24d54b4c5f23</t>
        </is>
      </c>
    </row>
    <row r="27">
      <c r="A27" t="inlineStr">
        <is>
          <t>chery ebro</t>
        </is>
      </c>
      <c r="B27" t="inlineStr">
        <is>
          <t>ES</t>
        </is>
      </c>
      <c r="C27" t="inlineStr">
        <is>
          <t>Barcelona</t>
        </is>
      </c>
      <c r="D27" t="inlineStr">
        <is>
          <t>vehicle</t>
        </is>
      </c>
      <c r="E27" t="inlineStr">
        <is>
          <t>electric</t>
        </is>
      </c>
      <c r="F27" t="n">
        <v>2</v>
      </c>
      <c r="G27" t="inlineStr">
        <is>
          <t>operational</t>
        </is>
      </c>
      <c r="H27" t="n">
        <v>50000</v>
      </c>
      <c r="I27" t="n">
        <v>200000</v>
      </c>
      <c r="J27" t="n">
        <v>133333333.3333333</v>
      </c>
      <c r="K27" t="n">
        <v>533333333.3333333</v>
      </c>
      <c r="L27" t="b">
        <v>1</v>
      </c>
      <c r="M27" t="inlineStr">
        <is>
          <t>2022-04</t>
        </is>
      </c>
      <c r="N27" t="inlineStr">
        <is>
          <t>2022-04</t>
        </is>
      </c>
      <c r="O27" t="inlineStr">
        <is>
          <t>2025-04</t>
        </is>
      </c>
      <c r="P27" t="b">
        <v>1</v>
      </c>
      <c r="Q27" t="b">
        <v>1</v>
      </c>
      <c r="R27" t="b">
        <v>0</v>
      </c>
      <c r="S27">
        <f>HYPERLINK("https://www.wardsauto.com/automakers/chery-in-talks-to-build-vehicles-at-volkswagen-plant-in-germany", "source")</f>
        <v/>
      </c>
      <c r="T27">
        <f>HYPERLINK("https://www.wardsauto.com/automakers/chery-in-talks-to-build-vehicles-at-volkswagen-plant-in-germany", "source")</f>
        <v/>
      </c>
      <c r="U27">
        <f>HYPERLINK("https://www.wardsauto.com/automakers/chery-in-talks-to-build-vehicles-at-volkswagen-plant-in-germany", "source")</f>
        <v/>
      </c>
      <c r="V27" t="inlineStr"/>
      <c r="W27" t="inlineStr"/>
      <c r="X27">
        <f>HYPERLINK("https://www.wardsauto.com/automakers/chery-in-talks-to-build-vehicles-at-volkswagen-plant-in-germany", "source")</f>
        <v/>
      </c>
      <c r="Y27" t="inlineStr">
        <is>
          <t>db43fe83-4d7e-57a6-9ec3-24d54b4c5f23</t>
        </is>
      </c>
    </row>
    <row r="28">
      <c r="A28" t="inlineStr">
        <is>
          <t>ego mobile</t>
        </is>
      </c>
      <c r="B28" t="inlineStr">
        <is>
          <t>DE</t>
        </is>
      </c>
      <c r="C28" t="inlineStr">
        <is>
          <t>Aachen</t>
        </is>
      </c>
      <c r="D28" t="inlineStr">
        <is>
          <t>vehicle</t>
        </is>
      </c>
      <c r="E28" t="inlineStr">
        <is>
          <t>electric</t>
        </is>
      </c>
      <c r="F28" t="n">
        <v>1</v>
      </c>
      <c r="G28" t="inlineStr">
        <is>
          <t>announced</t>
        </is>
      </c>
      <c r="H28" t="n">
        <v>15000</v>
      </c>
      <c r="I28" t="n">
        <v>15000</v>
      </c>
      <c r="J28" t="n">
        <v>82500000</v>
      </c>
      <c r="K28" t="n">
        <v>82500000</v>
      </c>
      <c r="L28" t="b">
        <v>1</v>
      </c>
      <c r="M28" t="inlineStr">
        <is>
          <t>2018-10</t>
        </is>
      </c>
      <c r="N28" t="inlineStr"/>
      <c r="O28" t="inlineStr"/>
      <c r="P28" t="b">
        <v>0</v>
      </c>
      <c r="Q28" t="b">
        <v>0</v>
      </c>
      <c r="R28" t="b">
        <v>0</v>
      </c>
      <c r="S28">
        <f>HYPERLINK("https://www.electrive.com/2018/10/08/electric-car-startup-e-go-forced-to-delay-deliveries/", "source")</f>
        <v/>
      </c>
      <c r="T28">
        <f>HYPERLINK("https://www.electrive.com/2018/10/08/electric-car-startup-e-go-forced-to-delay-deliveries/", "source")</f>
        <v/>
      </c>
      <c r="U28">
        <f>HYPERLINK("https://www.electrive.com/2018/10/08/electric-car-startup-e-go-forced-to-delay-deliveries/", "source")</f>
        <v/>
      </c>
      <c r="V28">
        <f>HYPERLINK("https://www.electrive.com/2018/10/08/electric-car-startup-e-go-forced-to-delay-deliveries/", "source")</f>
        <v/>
      </c>
      <c r="W28" t="inlineStr"/>
      <c r="X28" t="inlineStr"/>
      <c r="Y28" t="inlineStr">
        <is>
          <t>bfdcf05b-492e-54bb-99fd-e31147ba4143</t>
        </is>
      </c>
    </row>
    <row r="29">
      <c r="A29" t="inlineStr">
        <is>
          <t>electricbrands</t>
        </is>
      </c>
      <c r="B29" t="inlineStr">
        <is>
          <t>DE</t>
        </is>
      </c>
      <c r="C29" t="inlineStr">
        <is>
          <t>Göttingen</t>
        </is>
      </c>
      <c r="D29" t="inlineStr">
        <is>
          <t>vehicle</t>
        </is>
      </c>
      <c r="E29" t="inlineStr">
        <is>
          <t>electric</t>
        </is>
      </c>
      <c r="F29" t="n">
        <v>1</v>
      </c>
      <c r="G29" t="inlineStr">
        <is>
          <t>under construction</t>
        </is>
      </c>
      <c r="H29" t="n">
        <v>30000</v>
      </c>
      <c r="I29" t="n">
        <v>30000</v>
      </c>
      <c r="J29" t="n">
        <v>165000000</v>
      </c>
      <c r="K29" t="n">
        <v>165000000</v>
      </c>
      <c r="L29" t="b">
        <v>1</v>
      </c>
      <c r="M29" t="inlineStr">
        <is>
          <t>2022-08</t>
        </is>
      </c>
      <c r="N29" t="inlineStr">
        <is>
          <t>2022-08</t>
        </is>
      </c>
      <c r="O29" t="inlineStr">
        <is>
          <t>2025-08</t>
        </is>
      </c>
      <c r="P29" t="b">
        <v>0</v>
      </c>
      <c r="Q29" t="b">
        <v>0</v>
      </c>
      <c r="R29" t="b">
        <v>1</v>
      </c>
      <c r="S29">
        <f>HYPERLINK("https://www.electrive.com/2022/08/11/isetta-style-convertible-coming-in-as-evetta-openair/", "source")</f>
        <v/>
      </c>
      <c r="T29">
        <f>HYPERLINK("https://www.electrive.com/2022/08/11/isetta-style-convertible-coming-in-as-evetta-openair/", "source")</f>
        <v/>
      </c>
      <c r="U29">
        <f>HYPERLINK("https://www.electrive.com/2022/08/11/isetta-style-convertible-coming-in-as-evetta-openair/", "source")</f>
        <v/>
      </c>
      <c r="V29">
        <f>HYPERLINK("https://www.electrive.com/2022/08/11/isetta-style-convertible-coming-in-as-evetta-openair/", "source")</f>
        <v/>
      </c>
      <c r="W29">
        <f>HYPERLINK("https://www.electrive.com/2022/08/11/isetta-style-convertible-coming-in-as-evetta-openair/", "source")</f>
        <v/>
      </c>
      <c r="X29" t="inlineStr"/>
      <c r="Y29" t="inlineStr">
        <is>
          <t>8464b524-e22f-540d-bd3c-25a1aaeba903</t>
        </is>
      </c>
    </row>
    <row r="30">
      <c r="A30" t="inlineStr">
        <is>
          <t>fiat</t>
        </is>
      </c>
      <c r="B30" t="inlineStr">
        <is>
          <t>IT</t>
        </is>
      </c>
      <c r="C30" t="inlineStr">
        <is>
          <t>Torino</t>
        </is>
      </c>
      <c r="D30" t="inlineStr">
        <is>
          <t>vehicle</t>
        </is>
      </c>
      <c r="E30" t="inlineStr">
        <is>
          <t>electric</t>
        </is>
      </c>
      <c r="F30" t="n">
        <v>1</v>
      </c>
      <c r="G30" t="inlineStr">
        <is>
          <t>operational</t>
        </is>
      </c>
      <c r="H30" t="n">
        <v>80000</v>
      </c>
      <c r="I30" t="n">
        <v>80000</v>
      </c>
      <c r="J30" t="n">
        <v>700000000</v>
      </c>
      <c r="K30" t="n">
        <v>700000000</v>
      </c>
      <c r="L30" t="b">
        <v>0</v>
      </c>
      <c r="M30" t="inlineStr">
        <is>
          <t>2019-07</t>
        </is>
      </c>
      <c r="N30" t="inlineStr">
        <is>
          <t>2019-07</t>
        </is>
      </c>
      <c r="O30" t="inlineStr">
        <is>
          <t>2020-02</t>
        </is>
      </c>
      <c r="P30" t="b">
        <v>0</v>
      </c>
      <c r="Q30" t="b">
        <v>0</v>
      </c>
      <c r="R30" t="b">
        <v>0</v>
      </c>
      <c r="S30">
        <f>HYPERLINK("https://www.automotivemanufacturingsolutions.com/electrification/fiat-500-hybrid-revives-mirafiori-plant-with-scaled-up-production-and-new-investment/642709?utm_source=chatgpt.com", "source")</f>
        <v/>
      </c>
      <c r="T30">
        <f>HYPERLINK("https://www.automotivemanufacturingsolutions.com/electrification/fiat-500-hybrid-revives-mirafiori-plant-with-scaled-up-production-and-new-investment/642709?utm_source=chatgpt.com", "source")</f>
        <v/>
      </c>
      <c r="U30">
        <f>HYPERLINK("https://www.automotivemanufacturingsolutions.com/electrification/fiat-500-hybrid-revives-mirafiori-plant-with-scaled-up-production-and-new-investment/642709?utm_source=chatgpt.com", "source")</f>
        <v/>
      </c>
      <c r="V30">
        <f>HYPERLINK("https://www.electrive.com/2019/07/11/fiat-chrysler-is-investing-700-million-euros-to-produce-the-electric-500/", "source")</f>
        <v/>
      </c>
      <c r="W30">
        <f>HYPERLINK("https://www.electrive.com/2019/07/11/fiat-chrysler-is-investing-700-million-euros-to-produce-the-electric-500/", "source")</f>
        <v/>
      </c>
      <c r="X30">
        <f>HYPERLINK("https://www.electrive.com/2020/02/18/fiat-chrysler-launchs-pre-series-production-of-the-fiat-500-bev/", "source")</f>
        <v/>
      </c>
      <c r="Y30" t="inlineStr">
        <is>
          <t>ae542a6c-4bb4-5bbe-90e3-e340d2143765</t>
        </is>
      </c>
    </row>
    <row r="31">
      <c r="A31" t="inlineStr">
        <is>
          <t>fiat</t>
        </is>
      </c>
      <c r="B31" t="inlineStr">
        <is>
          <t>IT</t>
        </is>
      </c>
      <c r="C31" t="inlineStr">
        <is>
          <t>Torino</t>
        </is>
      </c>
      <c r="D31" t="inlineStr">
        <is>
          <t>vehicle</t>
        </is>
      </c>
      <c r="E31" t="inlineStr">
        <is>
          <t>electric</t>
        </is>
      </c>
      <c r="F31" t="n">
        <v>2</v>
      </c>
      <c r="G31" t="inlineStr">
        <is>
          <t>announced</t>
        </is>
      </c>
      <c r="H31" t="n">
        <v>20000</v>
      </c>
      <c r="I31" t="n">
        <v>100000</v>
      </c>
      <c r="J31" t="n">
        <v>175000000</v>
      </c>
      <c r="K31" t="n">
        <v>875000000</v>
      </c>
      <c r="L31" t="b">
        <v>1</v>
      </c>
      <c r="M31" t="inlineStr">
        <is>
          <t>2024-05</t>
        </is>
      </c>
      <c r="N31" t="inlineStr"/>
      <c r="O31" t="inlineStr"/>
      <c r="P31" t="b">
        <v>0</v>
      </c>
      <c r="Q31" t="b">
        <v>0</v>
      </c>
      <c r="R31" t="b">
        <v>0</v>
      </c>
      <c r="S31">
        <f>HYPERLINK("https://www.just-auto.com/news/fiat-500-hybrid/", "source")</f>
        <v/>
      </c>
      <c r="T31">
        <f>HYPERLINK("https://www.just-auto.com/news/fiat-500-hybrid/", "source")</f>
        <v/>
      </c>
      <c r="U31">
        <f>HYPERLINK("https://www.just-auto.com/news/fiat-500-hybrid/", "source")</f>
        <v/>
      </c>
      <c r="V31">
        <f>HYPERLINK("https://www.just-auto.com/news/fiat-to-build-hybrid-version-of-500-at-mirafiori-plant/", "source")</f>
        <v/>
      </c>
      <c r="W31" t="inlineStr"/>
      <c r="X31" t="inlineStr"/>
      <c r="Y31" t="inlineStr">
        <is>
          <t>ae542a6c-4bb4-5bbe-90e3-e340d2143765</t>
        </is>
      </c>
    </row>
    <row r="32">
      <c r="A32" t="inlineStr">
        <is>
          <t>flexis sas</t>
        </is>
      </c>
      <c r="B32" t="inlineStr">
        <is>
          <t>FR</t>
        </is>
      </c>
      <c r="C32" t="inlineStr">
        <is>
          <t>Sandouville</t>
        </is>
      </c>
      <c r="D32" t="inlineStr">
        <is>
          <t>vehicle</t>
        </is>
      </c>
      <c r="E32" t="inlineStr">
        <is>
          <t>electric</t>
        </is>
      </c>
      <c r="F32" t="n">
        <v>1</v>
      </c>
      <c r="G32" t="inlineStr">
        <is>
          <t>announced</t>
        </is>
      </c>
      <c r="H32" t="inlineStr"/>
      <c r="I32" t="inlineStr"/>
      <c r="J32" t="n">
        <v>300000000</v>
      </c>
      <c r="K32" t="n">
        <v>300000000</v>
      </c>
      <c r="L32" t="b">
        <v>0</v>
      </c>
      <c r="M32" t="inlineStr">
        <is>
          <t>2024-03</t>
        </is>
      </c>
      <c r="N32" t="inlineStr"/>
      <c r="O32" t="inlineStr"/>
      <c r="P32" t="b">
        <v>0</v>
      </c>
      <c r="Q32" t="b">
        <v>0</v>
      </c>
      <c r="R32" t="b">
        <v>0</v>
      </c>
      <c r="S32">
        <f>HYPERLINK("https://media.renaultgroup.com/renault-groups-sandouville-plant-is-set-to-build-a-revolutionary-generation-of-electric-lcvs-for-flexis-sas/?utm_source=chatgpt.com", "source")</f>
        <v/>
      </c>
      <c r="T32" t="inlineStr"/>
      <c r="U32">
        <f>HYPERLINK("https://media.renaultgroup.com/renault-groups-sandouville-plant-is-set-to-build-a-revolutionary-generation-of-electric-lcvs-for-flexis-sas/?utm_source=chatgpt.com", "source")</f>
        <v/>
      </c>
      <c r="V32">
        <f>HYPERLINK("https://media.renaultgroup.com/renault-groups-sandouville-plant-is-set-to-build-a-revolutionary-generation-of-electric-lcvs-for-flexis-sas/?utm_source=chatgpt.com", "source")</f>
        <v/>
      </c>
      <c r="W32" t="inlineStr"/>
      <c r="X32" t="inlineStr"/>
      <c r="Y32" t="inlineStr">
        <is>
          <t>c0fe36d6-7d90-572d-badc-0543e12c8562</t>
        </is>
      </c>
    </row>
    <row r="33">
      <c r="A33" t="inlineStr">
        <is>
          <t>ford</t>
        </is>
      </c>
      <c r="B33" t="inlineStr">
        <is>
          <t>DE</t>
        </is>
      </c>
      <c r="C33" t="inlineStr">
        <is>
          <t>Cologne</t>
        </is>
      </c>
      <c r="D33" t="inlineStr">
        <is>
          <t>vehicle</t>
        </is>
      </c>
      <c r="E33" t="inlineStr">
        <is>
          <t>electric</t>
        </is>
      </c>
      <c r="F33" t="n">
        <v>1</v>
      </c>
      <c r="G33" t="inlineStr">
        <is>
          <t>operational</t>
        </is>
      </c>
      <c r="H33" t="n">
        <v>250000</v>
      </c>
      <c r="I33" t="n">
        <v>250000</v>
      </c>
      <c r="J33" t="n">
        <v>1843544522</v>
      </c>
      <c r="K33" t="n">
        <v>1843544522</v>
      </c>
      <c r="L33" t="b">
        <v>0</v>
      </c>
      <c r="M33" t="inlineStr">
        <is>
          <t>2020-06</t>
        </is>
      </c>
      <c r="N33" t="inlineStr">
        <is>
          <t>2020-06</t>
        </is>
      </c>
      <c r="O33" t="inlineStr">
        <is>
          <t>2023-06</t>
        </is>
      </c>
      <c r="P33" t="b">
        <v>1</v>
      </c>
      <c r="Q33" t="b">
        <v>1</v>
      </c>
      <c r="R33" t="b">
        <v>0</v>
      </c>
      <c r="S33">
        <f>HYPERLINK("https://www.electrive.com/2025/09/16/up-to-1000-jobs-at-risk-at-fords-cologne-plant/#comment-369326", "source")</f>
        <v/>
      </c>
      <c r="T33">
        <f>HYPERLINK("https://www.electrive.com/2025/09/16/up-to-1000-jobs-at-risk-at-fords-cologne-plant/#comment-369326", "source")</f>
        <v/>
      </c>
      <c r="U33">
        <f>HYPERLINK("https://www.just-auto.com/news/ford-opens-cologne-ev-manufacturing-centre-2/", "source")</f>
        <v/>
      </c>
      <c r="V33" t="inlineStr"/>
      <c r="W33" t="inlineStr"/>
      <c r="X33">
        <f>HYPERLINK("https://www.just-auto.com/news/ford-opens-cologne-ev-manufacturing-centre/", "source")</f>
        <v/>
      </c>
      <c r="Y33" t="inlineStr">
        <is>
          <t>b42f04b4-6b19-5f3e-9dbb-b7e98880b5ad</t>
        </is>
      </c>
    </row>
    <row r="34">
      <c r="A34" t="inlineStr">
        <is>
          <t>ford</t>
        </is>
      </c>
      <c r="B34" t="inlineStr">
        <is>
          <t>ES</t>
        </is>
      </c>
      <c r="C34" t="inlineStr">
        <is>
          <t>Valencia</t>
        </is>
      </c>
      <c r="D34" t="inlineStr">
        <is>
          <t>vehicle</t>
        </is>
      </c>
      <c r="E34" t="inlineStr">
        <is>
          <t>electric</t>
        </is>
      </c>
      <c r="F34" t="n">
        <v>1</v>
      </c>
      <c r="G34" t="inlineStr">
        <is>
          <t>operational</t>
        </is>
      </c>
      <c r="H34" t="n">
        <v>80000</v>
      </c>
      <c r="I34" t="n">
        <v>80000</v>
      </c>
      <c r="J34" t="n">
        <v>440000000</v>
      </c>
      <c r="K34" t="n">
        <v>440000000</v>
      </c>
      <c r="L34" t="b">
        <v>1</v>
      </c>
      <c r="M34" t="inlineStr">
        <is>
          <t>2017-12</t>
        </is>
      </c>
      <c r="N34" t="inlineStr">
        <is>
          <t>2017-12</t>
        </is>
      </c>
      <c r="O34" t="inlineStr">
        <is>
          <t>2020-12</t>
        </is>
      </c>
      <c r="P34" t="b">
        <v>1</v>
      </c>
      <c r="Q34" t="b">
        <v>1</v>
      </c>
      <c r="R34" t="b">
        <v>0</v>
      </c>
      <c r="S34">
        <f>HYPERLINK("www.placeholder.com", "source")</f>
        <v/>
      </c>
      <c r="T34">
        <f>HYPERLINK("www.placeholder.com", "source")</f>
        <v/>
      </c>
      <c r="U34">
        <f>HYPERLINK("www.placeholder.com", "source")</f>
        <v/>
      </c>
      <c r="V34" t="inlineStr"/>
      <c r="W34" t="inlineStr"/>
      <c r="X34">
        <f>HYPERLINK("www.placeholder.com", "source")</f>
        <v/>
      </c>
      <c r="Y34" t="inlineStr">
        <is>
          <t>26f59fae-a89f-599f-94d0-a4e53b275c21</t>
        </is>
      </c>
    </row>
    <row r="35">
      <c r="A35" t="inlineStr">
        <is>
          <t>ford</t>
        </is>
      </c>
      <c r="B35" t="inlineStr">
        <is>
          <t>ES</t>
        </is>
      </c>
      <c r="C35" t="inlineStr">
        <is>
          <t>Valencia</t>
        </is>
      </c>
      <c r="D35" t="inlineStr">
        <is>
          <t>vehicle</t>
        </is>
      </c>
      <c r="E35" t="inlineStr">
        <is>
          <t>electric</t>
        </is>
      </c>
      <c r="F35" t="n">
        <v>2</v>
      </c>
      <c r="G35" t="inlineStr">
        <is>
          <t>announced</t>
        </is>
      </c>
      <c r="H35" t="n">
        <v>220000</v>
      </c>
      <c r="I35" t="n">
        <v>300000</v>
      </c>
      <c r="J35" t="n">
        <v>1210000000</v>
      </c>
      <c r="K35" t="n">
        <v>1650000000</v>
      </c>
      <c r="L35" t="b">
        <v>1</v>
      </c>
      <c r="M35" t="inlineStr">
        <is>
          <t>2023-07</t>
        </is>
      </c>
      <c r="N35" t="inlineStr"/>
      <c r="O35" t="inlineStr"/>
      <c r="P35" t="b">
        <v>0</v>
      </c>
      <c r="Q35" t="b">
        <v>0</v>
      </c>
      <c r="R35" t="b">
        <v>0</v>
      </c>
      <c r="S35">
        <f>HYPERLINK("https://www.just-auto.com/features/fresh-fhev-ford-rejuvenates-the-kuga/", "source")</f>
        <v/>
      </c>
      <c r="T35">
        <f>HYPERLINK("https://www.just-auto.com/features/fresh-fhev-ford-rejuvenates-the-kuga/", "source")</f>
        <v/>
      </c>
      <c r="U35">
        <f>HYPERLINK("https://www.just-auto.com/features/fresh-fhev-ford-rejuvenates-the-kuga/", "source")</f>
        <v/>
      </c>
      <c r="V35">
        <f>HYPERLINK("https://www.just-auto.com/news/ford-signs-initial-agreements-for-saarlouis-plant-investor/", "source")</f>
        <v/>
      </c>
      <c r="W35" t="inlineStr"/>
      <c r="X35" t="inlineStr"/>
      <c r="Y35" t="inlineStr">
        <is>
          <t>26f59fae-a89f-599f-94d0-a4e53b275c21</t>
        </is>
      </c>
    </row>
    <row r="36">
      <c r="A36" t="inlineStr">
        <is>
          <t>ford otosan</t>
        </is>
      </c>
      <c r="B36" t="inlineStr">
        <is>
          <t>RO</t>
        </is>
      </c>
      <c r="C36" t="inlineStr">
        <is>
          <t>Dolj</t>
        </is>
      </c>
      <c r="D36" t="inlineStr">
        <is>
          <t>vehicle</t>
        </is>
      </c>
      <c r="E36" t="inlineStr">
        <is>
          <t>electric, fossil</t>
        </is>
      </c>
      <c r="F36" t="n">
        <v>1</v>
      </c>
      <c r="G36" t="inlineStr">
        <is>
          <t>announced</t>
        </is>
      </c>
      <c r="H36" t="n">
        <v>272000</v>
      </c>
      <c r="I36" t="n">
        <v>272000</v>
      </c>
      <c r="J36" t="n">
        <v>496121</v>
      </c>
      <c r="K36" t="n">
        <v>496121</v>
      </c>
      <c r="L36" t="b">
        <v>0</v>
      </c>
      <c r="M36" t="inlineStr">
        <is>
          <t>2022-07</t>
        </is>
      </c>
      <c r="N36" t="inlineStr"/>
      <c r="O36" t="inlineStr"/>
      <c r="P36" t="b">
        <v>0</v>
      </c>
      <c r="Q36" t="b">
        <v>0</v>
      </c>
      <c r="R36" t="b">
        <v>0</v>
      </c>
      <c r="S36">
        <f>HYPERLINK("https://www.greencarstocks.com/ford-to-assemble-ev-batteries-in-romania/?utm_source=chatgpt.com", "source")</f>
        <v/>
      </c>
      <c r="T36">
        <f>HYPERLINK("https://www.just-auto.com/news/ford-romania-plant-adding-new-models/", "source")</f>
        <v/>
      </c>
      <c r="U36">
        <f>HYPERLINK("https://www.greencarstocks.com/ford-to-assemble-ev-batteries-in-romania/?utm_source=chatgpt.com", "source")</f>
        <v/>
      </c>
      <c r="V36">
        <f>HYPERLINK("https://www.romania-insider.com/ford-otosan-completes-takeover-craiova-jul-2022?utm_source=chatgpt.com", "source")</f>
        <v/>
      </c>
      <c r="W36" t="inlineStr"/>
      <c r="X36" t="inlineStr"/>
      <c r="Y36" t="inlineStr">
        <is>
          <t>9ee9a43a-027e-5519-a312-133210142d7a</t>
        </is>
      </c>
    </row>
    <row r="37">
      <c r="A37" t="inlineStr">
        <is>
          <t>ford otosan</t>
        </is>
      </c>
      <c r="B37" t="inlineStr">
        <is>
          <t>RO</t>
        </is>
      </c>
      <c r="C37" t="inlineStr"/>
      <c r="D37" t="inlineStr">
        <is>
          <t>vehicle</t>
        </is>
      </c>
      <c r="E37" t="inlineStr">
        <is>
          <t>electric</t>
        </is>
      </c>
      <c r="F37" t="n">
        <v>1</v>
      </c>
      <c r="G37" t="inlineStr">
        <is>
          <t>operational</t>
        </is>
      </c>
      <c r="H37" t="n">
        <v>0</v>
      </c>
      <c r="I37" t="n">
        <v>0</v>
      </c>
      <c r="J37" t="n">
        <v>0</v>
      </c>
      <c r="K37" t="n">
        <v>0</v>
      </c>
      <c r="L37" t="b">
        <v>1</v>
      </c>
      <c r="M37" t="inlineStr">
        <is>
          <t>2021-12</t>
        </is>
      </c>
      <c r="N37" t="inlineStr">
        <is>
          <t>2021-12</t>
        </is>
      </c>
      <c r="O37" t="inlineStr">
        <is>
          <t>2024-12</t>
        </is>
      </c>
      <c r="P37" t="b">
        <v>1</v>
      </c>
      <c r="Q37" t="b">
        <v>1</v>
      </c>
      <c r="R37" t="b">
        <v>0</v>
      </c>
      <c r="S37">
        <f>HYPERLINK("www.placeholder.com", "source")</f>
        <v/>
      </c>
      <c r="T37">
        <f>HYPERLINK("www.placeholder.com", "source")</f>
        <v/>
      </c>
      <c r="U37">
        <f>HYPERLINK("www.placeholder.com", "source")</f>
        <v/>
      </c>
      <c r="V37" t="inlineStr"/>
      <c r="W37" t="inlineStr"/>
      <c r="X37">
        <f>HYPERLINK("www.placeholder.com", "source")</f>
        <v/>
      </c>
      <c r="Y37" t="inlineStr">
        <is>
          <t>aeb6b6a5-e09a-5aeb-8372-eab9c4d2c261</t>
        </is>
      </c>
    </row>
    <row r="38">
      <c r="A38" t="inlineStr">
        <is>
          <t>hyundai</t>
        </is>
      </c>
      <c r="B38" t="inlineStr">
        <is>
          <t>CZ</t>
        </is>
      </c>
      <c r="C38" t="inlineStr">
        <is>
          <t>Nošovice</t>
        </is>
      </c>
      <c r="D38" t="inlineStr">
        <is>
          <t>vehicle</t>
        </is>
      </c>
      <c r="E38" t="inlineStr">
        <is>
          <t>electric</t>
        </is>
      </c>
      <c r="F38" t="n">
        <v>1</v>
      </c>
      <c r="G38" t="inlineStr">
        <is>
          <t>operational</t>
        </is>
      </c>
      <c r="H38" t="n">
        <v>30000</v>
      </c>
      <c r="I38" t="n">
        <v>30000</v>
      </c>
      <c r="J38" t="n">
        <v>80180843</v>
      </c>
      <c r="K38" t="n">
        <v>80180843</v>
      </c>
      <c r="L38" t="b">
        <v>0</v>
      </c>
      <c r="M38" t="inlineStr">
        <is>
          <t>2019-07</t>
        </is>
      </c>
      <c r="N38" t="inlineStr">
        <is>
          <t>2019-07</t>
        </is>
      </c>
      <c r="O38" t="inlineStr">
        <is>
          <t>2020-03</t>
        </is>
      </c>
      <c r="P38" t="b">
        <v>0</v>
      </c>
      <c r="Q38" t="b">
        <v>1</v>
      </c>
      <c r="R38" t="b">
        <v>0</v>
      </c>
      <c r="S38">
        <f>HYPERLINK("https://www.electrive.com/2020/03/16/first-hyundai-kona-electric-delivered-from-european-plants/", "source")</f>
        <v/>
      </c>
      <c r="T38">
        <f>HYPERLINK("https://www.electrive.com/2020/03/16/first-hyundai-kona-electric-delivered-from-european-plants/", "source")</f>
        <v/>
      </c>
      <c r="U38">
        <f>HYPERLINK("https://www.electrive.com/2019/07/19/hyundai-considers-manufacturing-kona-in-czech-republic/", "source")</f>
        <v/>
      </c>
      <c r="V38">
        <f>HYPERLINK("https://www.electrive.com/2019/07/19/hyundai-considers-manufacturing-kona-in-czech-republic/", "source")</f>
        <v/>
      </c>
      <c r="W38" t="inlineStr"/>
      <c r="X38">
        <f>HYPERLINK("https://www.electrive.com/2020/03/16/first-hyundai-kona-electric-delivered-from-european-plants/", "source")</f>
        <v/>
      </c>
      <c r="Y38" t="inlineStr">
        <is>
          <t>60d7afdf-9005-53df-ab21-93ee3d549c47</t>
        </is>
      </c>
    </row>
    <row r="39">
      <c r="A39" t="inlineStr">
        <is>
          <t>iveco group</t>
        </is>
      </c>
      <c r="B39" t="inlineStr">
        <is>
          <t>IT</t>
        </is>
      </c>
      <c r="C39" t="inlineStr">
        <is>
          <t>Foggia</t>
        </is>
      </c>
      <c r="D39" t="inlineStr">
        <is>
          <t>vehicle</t>
        </is>
      </c>
      <c r="E39" t="inlineStr">
        <is>
          <t>electric</t>
        </is>
      </c>
      <c r="F39" t="n">
        <v>1</v>
      </c>
      <c r="G39" t="inlineStr">
        <is>
          <t>operational</t>
        </is>
      </c>
      <c r="H39" t="n">
        <v>1000</v>
      </c>
      <c r="I39" t="n">
        <v>1000</v>
      </c>
      <c r="J39" t="n">
        <v>40000000</v>
      </c>
      <c r="K39" t="n">
        <v>40000000</v>
      </c>
      <c r="L39" t="b">
        <v>0</v>
      </c>
      <c r="M39" t="inlineStr">
        <is>
          <t>2020-04</t>
        </is>
      </c>
      <c r="N39" t="inlineStr">
        <is>
          <t>2020-04</t>
        </is>
      </c>
      <c r="O39" t="inlineStr">
        <is>
          <t>2023-04</t>
        </is>
      </c>
      <c r="P39" t="b">
        <v>1</v>
      </c>
      <c r="Q39" t="b">
        <v>1</v>
      </c>
      <c r="R39" t="b">
        <v>0</v>
      </c>
      <c r="S39">
        <f>HYPERLINK("https://www.just-auto.com/news/iveco-bus-returns-to-manufacturing-in-italy-with-new-plant/", "source")</f>
        <v/>
      </c>
      <c r="T39">
        <f>HYPERLINK("https://www.just-auto.com/news/iveco-bus-returns-to-manufacturing-in-italy-with-new-plant/", "source")</f>
        <v/>
      </c>
      <c r="U39">
        <f>HYPERLINK("https://www.just-auto.com/news/iveco-bus-returns-to-manufacturing-in-italy-with-new-plant/", "source")</f>
        <v/>
      </c>
      <c r="V39" t="inlineStr"/>
      <c r="W39" t="inlineStr"/>
      <c r="X39">
        <f>HYPERLINK("https://www.just-auto.com/news/iveco-bus-returns-to-manufacturing-in-italy-with-new-plant/", "source")</f>
        <v/>
      </c>
      <c r="Y39" t="inlineStr">
        <is>
          <t>9542df17-4a75-5c46-9468-bf5724c13166</t>
        </is>
      </c>
    </row>
    <row r="40">
      <c r="A40" t="inlineStr">
        <is>
          <t>jaguar land rover</t>
        </is>
      </c>
      <c r="B40" t="inlineStr">
        <is>
          <t>GB</t>
        </is>
      </c>
      <c r="C40" t="inlineStr">
        <is>
          <t>Coventry</t>
        </is>
      </c>
      <c r="D40" t="inlineStr">
        <is>
          <t>vehicle</t>
        </is>
      </c>
      <c r="E40" t="inlineStr">
        <is>
          <t>electric</t>
        </is>
      </c>
      <c r="F40" t="n">
        <v>1</v>
      </c>
      <c r="G40" t="inlineStr">
        <is>
          <t>operational</t>
        </is>
      </c>
      <c r="H40" t="inlineStr"/>
      <c r="I40" t="inlineStr"/>
      <c r="J40" t="n">
        <v>288779196</v>
      </c>
      <c r="K40" t="n">
        <v>288779196</v>
      </c>
      <c r="L40" t="b">
        <v>0</v>
      </c>
      <c r="M40" t="inlineStr"/>
      <c r="N40" t="inlineStr"/>
      <c r="O40" t="inlineStr"/>
      <c r="P40" t="b">
        <v>0</v>
      </c>
      <c r="Q40" t="b">
        <v>0</v>
      </c>
      <c r="R40" t="b">
        <v>0</v>
      </c>
      <c r="S40">
        <f>HYPERLINK("https://www.just-auto.com/news/jlr-opens-ev-test-facility/", "source")</f>
        <v/>
      </c>
      <c r="T40" t="inlineStr"/>
      <c r="U40">
        <f>HYPERLINK("https://www.just-auto.com/news/jlr-opens-ev-test-facility/", "source")</f>
        <v/>
      </c>
      <c r="V40" t="inlineStr"/>
      <c r="W40" t="inlineStr"/>
      <c r="X40" t="inlineStr"/>
      <c r="Y40" t="inlineStr">
        <is>
          <t>e7788d26-aa53-5359-99f2-59c1c84af8cf</t>
        </is>
      </c>
    </row>
    <row r="41">
      <c r="A41" t="inlineStr">
        <is>
          <t>kia</t>
        </is>
      </c>
      <c r="B41" t="inlineStr">
        <is>
          <t>SK</t>
        </is>
      </c>
      <c r="C41" t="inlineStr">
        <is>
          <t>Žilina Region</t>
        </is>
      </c>
      <c r="D41" t="inlineStr">
        <is>
          <t>vehicle</t>
        </is>
      </c>
      <c r="E41" t="inlineStr">
        <is>
          <t>electric</t>
        </is>
      </c>
      <c r="F41" t="n">
        <v>1</v>
      </c>
      <c r="G41" t="inlineStr">
        <is>
          <t>operational</t>
        </is>
      </c>
      <c r="H41" t="n">
        <v>60000</v>
      </c>
      <c r="I41" t="n">
        <v>60000</v>
      </c>
      <c r="J41" t="n">
        <v>330000000</v>
      </c>
      <c r="K41" t="n">
        <v>330000000</v>
      </c>
      <c r="L41" t="b">
        <v>1</v>
      </c>
      <c r="M41" t="inlineStr">
        <is>
          <t>2017-12</t>
        </is>
      </c>
      <c r="N41" t="inlineStr">
        <is>
          <t>2017-12</t>
        </is>
      </c>
      <c r="O41" t="inlineStr">
        <is>
          <t>2020-12</t>
        </is>
      </c>
      <c r="P41" t="b">
        <v>1</v>
      </c>
      <c r="Q41" t="b">
        <v>1</v>
      </c>
      <c r="R41" t="b">
        <v>0</v>
      </c>
      <c r="S41">
        <f>HYPERLINK("www.placeholder.com", "source")</f>
        <v/>
      </c>
      <c r="T41">
        <f>HYPERLINK("www.placeholder.com", "source")</f>
        <v/>
      </c>
      <c r="U41">
        <f>HYPERLINK("www.placeholder.com", "source")</f>
        <v/>
      </c>
      <c r="V41" t="inlineStr"/>
      <c r="W41" t="inlineStr"/>
      <c r="X41">
        <f>HYPERLINK("www.placeholder.com", "source")</f>
        <v/>
      </c>
      <c r="Y41" t="inlineStr">
        <is>
          <t>28bf3caf-06c8-5191-98cb-97c7ea26be54</t>
        </is>
      </c>
    </row>
    <row r="42">
      <c r="A42" t="inlineStr">
        <is>
          <t>kia</t>
        </is>
      </c>
      <c r="B42" t="inlineStr">
        <is>
          <t>SK</t>
        </is>
      </c>
      <c r="C42" t="inlineStr">
        <is>
          <t>Žilina Region</t>
        </is>
      </c>
      <c r="D42" t="inlineStr">
        <is>
          <t>vehicle</t>
        </is>
      </c>
      <c r="E42" t="inlineStr">
        <is>
          <t>electric</t>
        </is>
      </c>
      <c r="F42" t="n">
        <v>2</v>
      </c>
      <c r="G42" t="inlineStr">
        <is>
          <t>operational</t>
        </is>
      </c>
      <c r="H42" t="inlineStr"/>
      <c r="I42" t="inlineStr"/>
      <c r="J42" t="n">
        <v>108000000</v>
      </c>
      <c r="K42" t="n">
        <v>438000000</v>
      </c>
      <c r="L42" t="b">
        <v>0</v>
      </c>
      <c r="M42" t="inlineStr"/>
      <c r="N42" t="inlineStr"/>
      <c r="O42" t="inlineStr"/>
      <c r="P42" t="b">
        <v>0</v>
      </c>
      <c r="Q42" t="b">
        <v>0</v>
      </c>
      <c r="R42" t="b">
        <v>0</v>
      </c>
      <c r="S42">
        <f>HYPERLINK("https://thekoreancarblog.com/kia-to-expand-european-ev-production-ev2-and-ev4-output-target-increased-to-180000-units-annually/?utm_source=chatgpt.com", "source")</f>
        <v/>
      </c>
      <c r="T42" t="inlineStr"/>
      <c r="U42">
        <f>HYPERLINK("https://thekoreancarblog.com/kia-to-expand-european-ev-production-ev2-and-ev4-output-target-increased-to-180000-units-annually/?utm_source=chatgpt.com", "source")</f>
        <v/>
      </c>
      <c r="V42" t="inlineStr"/>
      <c r="W42" t="inlineStr"/>
      <c r="X42" t="inlineStr"/>
      <c r="Y42" t="inlineStr">
        <is>
          <t>28bf3caf-06c8-5191-98cb-97c7ea26be54</t>
        </is>
      </c>
    </row>
    <row r="43">
      <c r="A43" t="inlineStr">
        <is>
          <t>london electric vehicle company</t>
        </is>
      </c>
      <c r="B43" t="inlineStr">
        <is>
          <t>GB</t>
        </is>
      </c>
      <c r="C43" t="inlineStr">
        <is>
          <t>Coventry</t>
        </is>
      </c>
      <c r="D43" t="inlineStr">
        <is>
          <t>vehicle</t>
        </is>
      </c>
      <c r="E43" t="inlineStr">
        <is>
          <t>fossil</t>
        </is>
      </c>
      <c r="F43" t="n">
        <v>1</v>
      </c>
      <c r="G43" t="inlineStr">
        <is>
          <t>operational</t>
        </is>
      </c>
      <c r="H43" t="n">
        <v>24000</v>
      </c>
      <c r="I43" t="n">
        <v>24000</v>
      </c>
      <c r="J43" t="n">
        <v>369919301</v>
      </c>
      <c r="K43" t="n">
        <v>369919301</v>
      </c>
      <c r="L43" t="b">
        <v>0</v>
      </c>
      <c r="M43" t="inlineStr">
        <is>
          <t>2014-07</t>
        </is>
      </c>
      <c r="N43" t="inlineStr">
        <is>
          <t>2014-07</t>
        </is>
      </c>
      <c r="O43" t="inlineStr">
        <is>
          <t>2017-07</t>
        </is>
      </c>
      <c r="P43" t="b">
        <v>1</v>
      </c>
      <c r="Q43" t="b">
        <v>1</v>
      </c>
      <c r="R43" t="b">
        <v>0</v>
      </c>
      <c r="S43">
        <f>HYPERLINK("https://www.electrive.com/2017/07/11/levc-geely-designs-electric-cab-to-push-beyond-britain/", "source")</f>
        <v/>
      </c>
      <c r="T43">
        <f>HYPERLINK("https://www.electrive.com/2017/07/11/levc-geely-designs-electric-cab-to-push-beyond-britain/", "source")</f>
        <v/>
      </c>
      <c r="U43">
        <f>HYPERLINK("https://www.electrive.com/2017/07/11/levc-geely-designs-electric-cab-to-push-beyond-britain/", "source")</f>
        <v/>
      </c>
      <c r="V43" t="inlineStr"/>
      <c r="W43" t="inlineStr"/>
      <c r="X43">
        <f>HYPERLINK("https://www.electrive.com/2017/07/11/levc-geely-designs-electric-cab-to-push-beyond-britain/", "source")</f>
        <v/>
      </c>
      <c r="Y43" t="inlineStr">
        <is>
          <t>ac7d91f2-ab9b-5a3d-a16a-1dff9fd77735</t>
        </is>
      </c>
    </row>
    <row r="44">
      <c r="A44" t="inlineStr">
        <is>
          <t>london electric vehicle company</t>
        </is>
      </c>
      <c r="B44" t="inlineStr">
        <is>
          <t>GB</t>
        </is>
      </c>
      <c r="C44" t="inlineStr">
        <is>
          <t>Coventry</t>
        </is>
      </c>
      <c r="D44" t="inlineStr">
        <is>
          <t>vehicle</t>
        </is>
      </c>
      <c r="E44" t="inlineStr">
        <is>
          <t>fossil</t>
        </is>
      </c>
      <c r="F44" t="n">
        <v>2</v>
      </c>
      <c r="G44" t="inlineStr">
        <is>
          <t>announced</t>
        </is>
      </c>
      <c r="H44" t="n">
        <v>20000</v>
      </c>
      <c r="I44" t="n">
        <v>44000</v>
      </c>
      <c r="J44" t="inlineStr"/>
      <c r="K44" t="inlineStr"/>
      <c r="L44" t="b">
        <v>0</v>
      </c>
      <c r="M44" t="inlineStr">
        <is>
          <t>2023-01</t>
        </is>
      </c>
      <c r="N44" t="inlineStr"/>
      <c r="O44" t="inlineStr"/>
      <c r="P44" t="b">
        <v>0</v>
      </c>
      <c r="Q44" t="b">
        <v>0</v>
      </c>
      <c r="R44" t="b">
        <v>0</v>
      </c>
      <c r="S44">
        <f>HYPERLINK("https://www.just-auto.com/news/geely-to-invest-more-in-black-cab-company/", "source")</f>
        <v/>
      </c>
      <c r="T44">
        <f>HYPERLINK("https://www.just-auto.com/news/geely-to-invest-more-in-black-cab-company/", "source")</f>
        <v/>
      </c>
      <c r="U44" t="inlineStr"/>
      <c r="V44">
        <f>HYPERLINK("https://www.just-auto.com/news/geely-to-invest-more-in-black-cab-company/", "source")</f>
        <v/>
      </c>
      <c r="W44" t="inlineStr"/>
      <c r="X44" t="inlineStr"/>
      <c r="Y44" t="inlineStr">
        <is>
          <t>ac7d91f2-ab9b-5a3d-a16a-1dff9fd77735</t>
        </is>
      </c>
    </row>
    <row r="45">
      <c r="A45" t="inlineStr">
        <is>
          <t>london taxi company</t>
        </is>
      </c>
      <c r="B45" t="inlineStr">
        <is>
          <t>GB</t>
        </is>
      </c>
      <c r="C45" t="inlineStr">
        <is>
          <t>Warwickshire</t>
        </is>
      </c>
      <c r="D45" t="inlineStr">
        <is>
          <t>vehicle</t>
        </is>
      </c>
      <c r="E45" t="inlineStr">
        <is>
          <t>electric</t>
        </is>
      </c>
      <c r="F45" t="n">
        <v>1</v>
      </c>
      <c r="G45" t="inlineStr">
        <is>
          <t>operational</t>
        </is>
      </c>
      <c r="H45" t="n">
        <v>20000</v>
      </c>
      <c r="I45" t="n">
        <v>20000</v>
      </c>
      <c r="J45" t="n">
        <v>350672122</v>
      </c>
      <c r="K45" t="n">
        <v>350672122</v>
      </c>
      <c r="L45" t="b">
        <v>0</v>
      </c>
      <c r="M45" t="inlineStr">
        <is>
          <t>2014-03</t>
        </is>
      </c>
      <c r="N45" t="inlineStr">
        <is>
          <t>2014-03</t>
        </is>
      </c>
      <c r="O45" t="inlineStr">
        <is>
          <t>2017-03</t>
        </is>
      </c>
      <c r="P45" t="b">
        <v>1</v>
      </c>
      <c r="Q45" t="b">
        <v>1</v>
      </c>
      <c r="R45" t="b">
        <v>0</v>
      </c>
      <c r="S45">
        <f>HYPERLINK("https://www.electrive.com/2017/03/29/tencent-fisker-ltc-kia-turkey-china/", "source")</f>
        <v/>
      </c>
      <c r="T45">
        <f>HYPERLINK("https://www.electrive.com/2017/03/29/tencent-fisker-ltc-kia-turkey-china/", "source")</f>
        <v/>
      </c>
      <c r="U45">
        <f>HYPERLINK("https://www.electrive.com/2017/03/29/tencent-fisker-ltc-kia-turkey-china/", "source")</f>
        <v/>
      </c>
      <c r="V45" t="inlineStr"/>
      <c r="W45" t="inlineStr"/>
      <c r="X45">
        <f>HYPERLINK("https://www.electrive.com/2017/03/29/tencent-fisker-ltc-kia-turkey-china/", "source")</f>
        <v/>
      </c>
      <c r="Y45" t="inlineStr">
        <is>
          <t>212c053b-5420-5021-9124-27eaa08667f0</t>
        </is>
      </c>
    </row>
    <row r="46">
      <c r="A46" t="inlineStr">
        <is>
          <t>magna</t>
        </is>
      </c>
      <c r="B46" t="inlineStr">
        <is>
          <t>AT</t>
        </is>
      </c>
      <c r="C46" t="inlineStr">
        <is>
          <t>Graz</t>
        </is>
      </c>
      <c r="D46" t="inlineStr">
        <is>
          <t>vehicle</t>
        </is>
      </c>
      <c r="E46" t="inlineStr">
        <is>
          <t>electric</t>
        </is>
      </c>
      <c r="F46" t="n">
        <v>1</v>
      </c>
      <c r="G46" t="inlineStr">
        <is>
          <t>announced</t>
        </is>
      </c>
      <c r="H46" t="n">
        <v>50000</v>
      </c>
      <c r="I46" t="n">
        <v>50000</v>
      </c>
      <c r="J46" t="inlineStr"/>
      <c r="K46" t="inlineStr"/>
      <c r="L46" t="b">
        <v>0</v>
      </c>
      <c r="M46" t="inlineStr">
        <is>
          <t>2022-08</t>
        </is>
      </c>
      <c r="N46" t="inlineStr"/>
      <c r="O46" t="inlineStr"/>
      <c r="P46" t="b">
        <v>0</v>
      </c>
      <c r="Q46" t="b">
        <v>0</v>
      </c>
      <c r="R46" t="b">
        <v>0</v>
      </c>
      <c r="S46">
        <f>HYPERLINK("https://www.electrive.com/2022/08/22/fisker-looks-to-expand-production-of-the-ocean/", "source")</f>
        <v/>
      </c>
      <c r="T46">
        <f>HYPERLINK("https://www.electrive.com/2022/08/22/fisker-looks-to-expand-production-of-the-ocean/", "source")</f>
        <v/>
      </c>
      <c r="U46" t="inlineStr"/>
      <c r="V46">
        <f>HYPERLINK("https://www.electrive.com/2022/08/22/fisker-looks-to-expand-production-of-the-ocean/", "source")</f>
        <v/>
      </c>
      <c r="W46" t="inlineStr"/>
      <c r="X46" t="inlineStr"/>
      <c r="Y46" t="inlineStr">
        <is>
          <t>c86dbf93-06e4-55ef-9a58-894eac2eceb9</t>
        </is>
      </c>
    </row>
    <row r="47">
      <c r="A47" t="inlineStr">
        <is>
          <t>mercedes benz</t>
        </is>
      </c>
      <c r="B47" t="inlineStr">
        <is>
          <t>DE</t>
        </is>
      </c>
      <c r="C47" t="inlineStr">
        <is>
          <t>Bremen</t>
        </is>
      </c>
      <c r="D47" t="inlineStr">
        <is>
          <t>vehicle</t>
        </is>
      </c>
      <c r="E47" t="inlineStr">
        <is>
          <t>electric</t>
        </is>
      </c>
      <c r="F47" t="n">
        <v>1</v>
      </c>
      <c r="G47" t="inlineStr">
        <is>
          <t>operational</t>
        </is>
      </c>
      <c r="H47" t="n">
        <v>40000</v>
      </c>
      <c r="I47" t="n">
        <v>40000</v>
      </c>
      <c r="J47" t="n">
        <v>80000000</v>
      </c>
      <c r="K47" t="n">
        <v>80000000</v>
      </c>
      <c r="L47" t="b">
        <v>1</v>
      </c>
      <c r="M47" t="inlineStr">
        <is>
          <t>2012-01</t>
        </is>
      </c>
      <c r="N47" t="inlineStr">
        <is>
          <t>2012-01</t>
        </is>
      </c>
      <c r="O47" t="inlineStr">
        <is>
          <t>2015-01</t>
        </is>
      </c>
      <c r="P47" t="b">
        <v>1</v>
      </c>
      <c r="Q47" t="b">
        <v>1</v>
      </c>
      <c r="R47" t="b">
        <v>0</v>
      </c>
      <c r="S47">
        <f>HYPERLINK("www.placeholder.com", "source")</f>
        <v/>
      </c>
      <c r="T47">
        <f>HYPERLINK("www.placeholder.com", "source")</f>
        <v/>
      </c>
      <c r="U47">
        <f>HYPERLINK("www.placeholder.com", "source")</f>
        <v/>
      </c>
      <c r="V47" t="inlineStr"/>
      <c r="W47" t="inlineStr"/>
      <c r="X47">
        <f>HYPERLINK("www.placeholder.com", "source")</f>
        <v/>
      </c>
      <c r="Y47" t="inlineStr">
        <is>
          <t>a872b950-3bbe-50cf-8d40-35d08fc41ecc</t>
        </is>
      </c>
    </row>
    <row r="48">
      <c r="A48" t="inlineStr">
        <is>
          <t>mercedes benz</t>
        </is>
      </c>
      <c r="B48" t="inlineStr">
        <is>
          <t>DE</t>
        </is>
      </c>
      <c r="C48" t="inlineStr">
        <is>
          <t>Rastatt</t>
        </is>
      </c>
      <c r="D48" t="inlineStr">
        <is>
          <t>vehicle</t>
        </is>
      </c>
      <c r="E48" t="inlineStr">
        <is>
          <t>electric</t>
        </is>
      </c>
      <c r="F48" t="n">
        <v>1</v>
      </c>
      <c r="G48" t="inlineStr">
        <is>
          <t>operational</t>
        </is>
      </c>
      <c r="H48" t="n">
        <v>120000</v>
      </c>
      <c r="I48" t="n">
        <v>120000</v>
      </c>
      <c r="J48" t="n">
        <v>240000000</v>
      </c>
      <c r="K48" t="n">
        <v>240000000</v>
      </c>
      <c r="L48" t="b">
        <v>1</v>
      </c>
      <c r="M48" t="inlineStr">
        <is>
          <t>2015-01</t>
        </is>
      </c>
      <c r="N48" t="inlineStr">
        <is>
          <t>2015-01</t>
        </is>
      </c>
      <c r="O48" t="inlineStr">
        <is>
          <t>2018-01</t>
        </is>
      </c>
      <c r="P48" t="b">
        <v>1</v>
      </c>
      <c r="Q48" t="b">
        <v>1</v>
      </c>
      <c r="R48" t="b">
        <v>0</v>
      </c>
      <c r="S48">
        <f>HYPERLINK("www.placeholder.com", "source")</f>
        <v/>
      </c>
      <c r="T48">
        <f>HYPERLINK("www.placeholder.com", "source")</f>
        <v/>
      </c>
      <c r="U48">
        <f>HYPERLINK("www.placeholder.com", "source")</f>
        <v/>
      </c>
      <c r="V48" t="inlineStr"/>
      <c r="W48" t="inlineStr"/>
      <c r="X48">
        <f>HYPERLINK("www.placeholder.com", "source")</f>
        <v/>
      </c>
      <c r="Y48" t="inlineStr">
        <is>
          <t>a138278e-fa43-5700-9479-61f888ac0dde</t>
        </is>
      </c>
    </row>
    <row r="49">
      <c r="A49" t="inlineStr">
        <is>
          <t>mercedes benz</t>
        </is>
      </c>
      <c r="B49" t="inlineStr">
        <is>
          <t>DE</t>
        </is>
      </c>
      <c r="C49" t="inlineStr">
        <is>
          <t>Sindelfingen</t>
        </is>
      </c>
      <c r="D49" t="inlineStr">
        <is>
          <t>vehicle</t>
        </is>
      </c>
      <c r="E49" t="inlineStr">
        <is>
          <t>electric, fossil</t>
        </is>
      </c>
      <c r="F49" t="n">
        <v>1</v>
      </c>
      <c r="G49" t="inlineStr">
        <is>
          <t>operational</t>
        </is>
      </c>
      <c r="H49" t="n">
        <v>80000</v>
      </c>
      <c r="I49" t="n">
        <v>80000</v>
      </c>
      <c r="J49" t="n">
        <v>365000000</v>
      </c>
      <c r="K49" t="n">
        <v>365000000</v>
      </c>
      <c r="L49" t="b">
        <v>0</v>
      </c>
      <c r="M49" t="inlineStr">
        <is>
          <t>2013-01</t>
        </is>
      </c>
      <c r="N49" t="inlineStr">
        <is>
          <t>2013-01</t>
        </is>
      </c>
      <c r="O49" t="inlineStr">
        <is>
          <t>2016-01</t>
        </is>
      </c>
      <c r="P49" t="b">
        <v>1</v>
      </c>
      <c r="Q49" t="b">
        <v>1</v>
      </c>
      <c r="R49" t="b">
        <v>0</v>
      </c>
      <c r="S49">
        <f>HYPERLINK("www.placeholder.com", "source")</f>
        <v/>
      </c>
      <c r="T49">
        <f>HYPERLINK("www.placeholder.com", "source")</f>
        <v/>
      </c>
      <c r="U49">
        <f>HYPERLINK("https://www.electrive.com/2020/09/02/mercedes-to-open-factory-56-in-sindelfingen/", "source")</f>
        <v/>
      </c>
      <c r="V49" t="inlineStr"/>
      <c r="W49" t="inlineStr"/>
      <c r="X49">
        <f>HYPERLINK("www.placeholder.com", "source")</f>
        <v/>
      </c>
      <c r="Y49" t="inlineStr">
        <is>
          <t>81687d9c-3bf4-5901-9814-be851b7e03d1</t>
        </is>
      </c>
    </row>
    <row r="50">
      <c r="A50" t="inlineStr">
        <is>
          <t>mercedes benz</t>
        </is>
      </c>
      <c r="B50" t="inlineStr">
        <is>
          <t>DE</t>
        </is>
      </c>
      <c r="C50" t="inlineStr"/>
      <c r="D50" t="inlineStr">
        <is>
          <t>vehicle</t>
        </is>
      </c>
      <c r="E50" t="inlineStr">
        <is>
          <t>electric</t>
        </is>
      </c>
      <c r="F50" t="n">
        <v>1</v>
      </c>
      <c r="G50" t="inlineStr">
        <is>
          <t>operational</t>
        </is>
      </c>
      <c r="H50" t="n">
        <v>0</v>
      </c>
      <c r="I50" t="n">
        <v>0</v>
      </c>
      <c r="J50" t="n">
        <v>0</v>
      </c>
      <c r="K50" t="n">
        <v>0</v>
      </c>
      <c r="L50" t="b">
        <v>1</v>
      </c>
      <c r="M50" t="inlineStr">
        <is>
          <t>2017-01</t>
        </is>
      </c>
      <c r="N50" t="inlineStr">
        <is>
          <t>2017-01</t>
        </is>
      </c>
      <c r="O50" t="inlineStr">
        <is>
          <t>2020-01</t>
        </is>
      </c>
      <c r="P50" t="b">
        <v>1</v>
      </c>
      <c r="Q50" t="b">
        <v>1</v>
      </c>
      <c r="R50" t="b">
        <v>0</v>
      </c>
      <c r="S50">
        <f>HYPERLINK("www.placeholder.com", "source")</f>
        <v/>
      </c>
      <c r="T50">
        <f>HYPERLINK("www.placeholder.com", "source")</f>
        <v/>
      </c>
      <c r="U50">
        <f>HYPERLINK("www.placeholder.com", "source")</f>
        <v/>
      </c>
      <c r="V50" t="inlineStr"/>
      <c r="W50" t="inlineStr"/>
      <c r="X50">
        <f>HYPERLINK("www.placeholder.com", "source")</f>
        <v/>
      </c>
      <c r="Y50" t="inlineStr">
        <is>
          <t>47e58326-470c-50d7-9d9c-35d8ae6d660f</t>
        </is>
      </c>
    </row>
    <row r="51">
      <c r="A51" t="inlineStr">
        <is>
          <t>mercedes benz</t>
        </is>
      </c>
      <c r="B51" t="inlineStr">
        <is>
          <t>ES</t>
        </is>
      </c>
      <c r="C51" t="inlineStr">
        <is>
          <t>Vitoria-Gasteiz</t>
        </is>
      </c>
      <c r="D51" t="inlineStr">
        <is>
          <t>vehicle</t>
        </is>
      </c>
      <c r="E51" t="inlineStr">
        <is>
          <t>electric</t>
        </is>
      </c>
      <c r="F51" t="n">
        <v>1</v>
      </c>
      <c r="G51" t="inlineStr">
        <is>
          <t>operational</t>
        </is>
      </c>
      <c r="H51" t="n">
        <v>20000</v>
      </c>
      <c r="I51" t="n">
        <v>20000</v>
      </c>
      <c r="J51" t="n">
        <v>110000000</v>
      </c>
      <c r="K51" t="n">
        <v>110000000</v>
      </c>
      <c r="L51" t="b">
        <v>1</v>
      </c>
      <c r="M51" t="inlineStr">
        <is>
          <t>2016-06</t>
        </is>
      </c>
      <c r="N51" t="inlineStr">
        <is>
          <t>2016-06</t>
        </is>
      </c>
      <c r="O51" t="inlineStr">
        <is>
          <t>2019-06</t>
        </is>
      </c>
      <c r="P51" t="b">
        <v>1</v>
      </c>
      <c r="Q51" t="b">
        <v>1</v>
      </c>
      <c r="R51" t="b">
        <v>0</v>
      </c>
      <c r="S51">
        <f>HYPERLINK("www.placeholder.com", "source")</f>
        <v/>
      </c>
      <c r="T51">
        <f>HYPERLINK("www.placeholder.com", "source")</f>
        <v/>
      </c>
      <c r="U51">
        <f>HYPERLINK("www.placeholder.com", "source")</f>
        <v/>
      </c>
      <c r="V51" t="inlineStr"/>
      <c r="W51" t="inlineStr"/>
      <c r="X51">
        <f>HYPERLINK("www.placeholder.com", "source")</f>
        <v/>
      </c>
      <c r="Y51" t="inlineStr">
        <is>
          <t>5024cb92-04bb-5923-8456-1aaca8bbc481</t>
        </is>
      </c>
    </row>
    <row r="52">
      <c r="A52" t="inlineStr">
        <is>
          <t>mercedes benz</t>
        </is>
      </c>
      <c r="B52" t="inlineStr">
        <is>
          <t>ES</t>
        </is>
      </c>
      <c r="C52" t="inlineStr">
        <is>
          <t>Vitoria-Gasteiz</t>
        </is>
      </c>
      <c r="D52" t="inlineStr">
        <is>
          <t>vehicle</t>
        </is>
      </c>
      <c r="E52" t="inlineStr">
        <is>
          <t>electric</t>
        </is>
      </c>
      <c r="F52" t="n">
        <v>2</v>
      </c>
      <c r="G52" t="inlineStr">
        <is>
          <t>under construction</t>
        </is>
      </c>
      <c r="H52" t="inlineStr"/>
      <c r="I52" t="inlineStr"/>
      <c r="J52" t="n">
        <v>1000000000</v>
      </c>
      <c r="K52" t="n">
        <v>1110000000</v>
      </c>
      <c r="L52" t="b">
        <v>0</v>
      </c>
      <c r="M52" t="inlineStr">
        <is>
          <t>2024-04</t>
        </is>
      </c>
      <c r="N52" t="inlineStr">
        <is>
          <t>2024-04</t>
        </is>
      </c>
      <c r="O52" t="inlineStr">
        <is>
          <t>2027-04</t>
        </is>
      </c>
      <c r="P52" t="b">
        <v>0</v>
      </c>
      <c r="Q52" t="b">
        <v>0</v>
      </c>
      <c r="R52" t="b">
        <v>1</v>
      </c>
      <c r="S52">
        <f>HYPERLINK("https://www.foundry-planet.com/d/ger-es-mercedes-benz-invests-1-billion-euros-in-spanish-factory-to-manufacture-new-electric-vans/?utm_source=chatgpt.com", "source")</f>
        <v/>
      </c>
      <c r="T52" t="inlineStr"/>
      <c r="U52">
        <f>HYPERLINK("https://www.foundry-planet.com/d/ger-es-mercedes-benz-invests-1-billion-euros-in-spanish-factory-to-manufacture-new-electric-vans/?utm_source=chatgpt.com", "source")</f>
        <v/>
      </c>
      <c r="V52">
        <f>HYPERLINK("https://www.foundry-planet.com/d/ger-es-mercedes-benz-invests-1-billion-euros-in-spanish-factory-to-manufacture-new-electric-vans/?utm_source=chatgpt.com", "source")</f>
        <v/>
      </c>
      <c r="W52">
        <f>HYPERLINK("https://www.foundry-planet.com/d/ger-es-mercedes-benz-invests-1-billion-euros-in-spanish-factory-to-manufacture-new-electric-vans/?utm_source=chatgpt.com", "source")</f>
        <v/>
      </c>
      <c r="X52" t="inlineStr"/>
      <c r="Y52" t="inlineStr">
        <is>
          <t>5024cb92-04bb-5923-8456-1aaca8bbc481</t>
        </is>
      </c>
    </row>
    <row r="53">
      <c r="A53" t="inlineStr">
        <is>
          <t>mercedes benz</t>
        </is>
      </c>
      <c r="B53" t="inlineStr">
        <is>
          <t>HU</t>
        </is>
      </c>
      <c r="C53" t="inlineStr">
        <is>
          <t>Bács-Kiskun</t>
        </is>
      </c>
      <c r="D53" t="inlineStr">
        <is>
          <t>vehicle</t>
        </is>
      </c>
      <c r="E53" t="inlineStr">
        <is>
          <t>electric</t>
        </is>
      </c>
      <c r="F53" t="n">
        <v>1</v>
      </c>
      <c r="G53" t="inlineStr">
        <is>
          <t>operational</t>
        </is>
      </c>
      <c r="H53" t="n">
        <v>80000</v>
      </c>
      <c r="I53" t="n">
        <v>80000</v>
      </c>
      <c r="J53" t="n">
        <v>100000000</v>
      </c>
      <c r="K53" t="n">
        <v>100000000</v>
      </c>
      <c r="L53" t="b">
        <v>0</v>
      </c>
      <c r="M53" t="inlineStr">
        <is>
          <t>2021-10</t>
        </is>
      </c>
      <c r="N53" t="inlineStr">
        <is>
          <t>2021-10</t>
        </is>
      </c>
      <c r="O53" t="inlineStr">
        <is>
          <t>2021-11</t>
        </is>
      </c>
      <c r="P53" t="b">
        <v>0</v>
      </c>
      <c r="Q53" t="b">
        <v>0</v>
      </c>
      <c r="R53" t="b">
        <v>0</v>
      </c>
      <c r="S53">
        <f>HYPERLINK("www.placeholder.com", "source")</f>
        <v/>
      </c>
      <c r="T53">
        <f>HYPERLINK("www.placeholder.com", "source")</f>
        <v/>
      </c>
      <c r="U53">
        <f>HYPERLINK("https://hipa.hu/news/mercedes-benz-will-launch-series-production-of-a-purely-electric-vehicle-in-hungary/?utm_source=chatgpt.com", "source")</f>
        <v/>
      </c>
      <c r="V53">
        <f>HYPERLINK("https://hipa.hu/news/mercedes-benz-will-launch-series-production-of-a-purely-electric-vehicle-in-hungary/?utm_source=chatgpt.com", "source")</f>
        <v/>
      </c>
      <c r="W53">
        <f>HYPERLINK("https://hipa.hu/news/mercedes-benz-will-launch-series-production-of-a-purely-electric-vehicle-in-hungary/?utm_source=chatgpt.com", "source")</f>
        <v/>
      </c>
      <c r="X53">
        <f>HYPERLINK("www.placeholder.com", "source")</f>
        <v/>
      </c>
      <c r="Y53" t="inlineStr">
        <is>
          <t>0c49c7cf-99fc-5178-bcf3-7bfdd76a4ab2</t>
        </is>
      </c>
    </row>
    <row r="54">
      <c r="A54" t="inlineStr">
        <is>
          <t>mercedes benz</t>
        </is>
      </c>
      <c r="B54" t="inlineStr">
        <is>
          <t>HU</t>
        </is>
      </c>
      <c r="C54" t="inlineStr">
        <is>
          <t>Bács-Kiskun</t>
        </is>
      </c>
      <c r="D54" t="inlineStr">
        <is>
          <t>vehicle</t>
        </is>
      </c>
      <c r="E54" t="inlineStr">
        <is>
          <t>electric</t>
        </is>
      </c>
      <c r="F54" t="n">
        <v>2</v>
      </c>
      <c r="G54" t="inlineStr">
        <is>
          <t>under construction</t>
        </is>
      </c>
      <c r="H54" t="inlineStr"/>
      <c r="I54" t="inlineStr"/>
      <c r="J54" t="n">
        <v>700000000</v>
      </c>
      <c r="K54" t="n">
        <v>800000000</v>
      </c>
      <c r="L54" t="b">
        <v>0</v>
      </c>
      <c r="M54" t="inlineStr">
        <is>
          <t>2025-05</t>
        </is>
      </c>
      <c r="N54" t="inlineStr">
        <is>
          <t>2025-05</t>
        </is>
      </c>
      <c r="O54" t="inlineStr">
        <is>
          <t>2028-05</t>
        </is>
      </c>
      <c r="P54" t="b">
        <v>0</v>
      </c>
      <c r="Q54" t="b">
        <v>0</v>
      </c>
      <c r="R54" t="b">
        <v>1</v>
      </c>
      <c r="S54">
        <f>HYPERLINK("https://autopro.hu/en/news/mercedes-in-kecskemet-grows-with-hungarian-suppliers/1397686?utm_source=chatgpt.com", "source")</f>
        <v/>
      </c>
      <c r="T54" t="inlineStr"/>
      <c r="U54">
        <f>HYPERLINK("https://autopro.hu/en/news/mercedes-in-kecskemet-grows-with-hungarian-suppliers/1397686?utm_source=chatgpt.com", "source")</f>
        <v/>
      </c>
      <c r="V54">
        <f>HYPERLINK("https://autopro.hu/en/news/mercedes-in-kecskemet-grows-with-hungarian-suppliers/1397686?utm_source=chatgpt.com", "source")</f>
        <v/>
      </c>
      <c r="W54">
        <f>HYPERLINK("https://autopro.hu/en/news/mercedes-in-kecskemet-grows-with-hungarian-suppliers/1397686?utm_source=chatgpt.com", "source")</f>
        <v/>
      </c>
      <c r="X54" t="inlineStr"/>
      <c r="Y54" t="inlineStr">
        <is>
          <t>0c49c7cf-99fc-5178-bcf3-7bfdd76a4ab2</t>
        </is>
      </c>
    </row>
    <row r="55">
      <c r="A55" t="inlineStr">
        <is>
          <t>micro mobility</t>
        </is>
      </c>
      <c r="B55" t="inlineStr">
        <is>
          <t>IT</t>
        </is>
      </c>
      <c r="C55" t="inlineStr">
        <is>
          <t>Torino</t>
        </is>
      </c>
      <c r="D55" t="inlineStr">
        <is>
          <t>vehicle</t>
        </is>
      </c>
      <c r="E55" t="inlineStr">
        <is>
          <t>electric</t>
        </is>
      </c>
      <c r="F55" t="n">
        <v>1</v>
      </c>
      <c r="G55" t="inlineStr">
        <is>
          <t>operational</t>
        </is>
      </c>
      <c r="H55" t="n">
        <v>7500</v>
      </c>
      <c r="I55" t="n">
        <v>7500</v>
      </c>
      <c r="J55" t="n">
        <v>41250000</v>
      </c>
      <c r="K55" t="n">
        <v>41250000</v>
      </c>
      <c r="L55" t="b">
        <v>1</v>
      </c>
      <c r="M55" t="inlineStr">
        <is>
          <t>2018-09</t>
        </is>
      </c>
      <c r="N55" t="inlineStr">
        <is>
          <t>2018-09</t>
        </is>
      </c>
      <c r="O55" t="inlineStr">
        <is>
          <t>2021-09</t>
        </is>
      </c>
      <c r="P55" t="b">
        <v>1</v>
      </c>
      <c r="Q55" t="b">
        <v>1</v>
      </c>
      <c r="R55" t="b">
        <v>0</v>
      </c>
      <c r="S55">
        <f>HYPERLINK("https://www.electrive.com/2023/07/25/microlino-heads-to-france/", "source")</f>
        <v/>
      </c>
      <c r="T55">
        <f>HYPERLINK("https://www.electrive.com/2023/07/25/microlino-heads-to-france/", "source")</f>
        <v/>
      </c>
      <c r="U55">
        <f>HYPERLINK("https://www.electrive.com/2023/07/25/microlino-heads-to-france/", "source")</f>
        <v/>
      </c>
      <c r="V55" t="inlineStr"/>
      <c r="W55" t="inlineStr"/>
      <c r="X55">
        <f>HYPERLINK("https://www.electrive.com/2021/09/07/microlino-2-0-launches-with-three-battery-options/", "source")</f>
        <v/>
      </c>
      <c r="Y55" t="inlineStr">
        <is>
          <t>99c343c6-4f54-55dc-934d-5354f0c6e10e</t>
        </is>
      </c>
    </row>
    <row r="56">
      <c r="A56" t="inlineStr">
        <is>
          <t>moke international</t>
        </is>
      </c>
      <c r="B56" t="inlineStr">
        <is>
          <t>GB</t>
        </is>
      </c>
      <c r="C56" t="inlineStr">
        <is>
          <t>Warwickshire</t>
        </is>
      </c>
      <c r="D56" t="inlineStr">
        <is>
          <t>vehicle</t>
        </is>
      </c>
      <c r="E56" t="inlineStr">
        <is>
          <t>electric</t>
        </is>
      </c>
      <c r="F56" t="n">
        <v>1</v>
      </c>
      <c r="G56" t="inlineStr">
        <is>
          <t>operational</t>
        </is>
      </c>
      <c r="H56" t="n">
        <v>500</v>
      </c>
      <c r="I56" t="n">
        <v>500</v>
      </c>
      <c r="J56" t="n">
        <v>2750000</v>
      </c>
      <c r="K56" t="n">
        <v>2750000</v>
      </c>
      <c r="L56" t="b">
        <v>1</v>
      </c>
      <c r="M56" t="inlineStr">
        <is>
          <t>2022-04</t>
        </is>
      </c>
      <c r="N56" t="inlineStr">
        <is>
          <t>2022-04</t>
        </is>
      </c>
      <c r="O56" t="inlineStr">
        <is>
          <t>2025-04</t>
        </is>
      </c>
      <c r="P56" t="b">
        <v>1</v>
      </c>
      <c r="Q56" t="b">
        <v>1</v>
      </c>
      <c r="R56" t="b">
        <v>0</v>
      </c>
      <c r="S56">
        <f>HYPERLINK("https://www.electrive.com/2025/04/15/moke-opens-new-uk-production-facility/", "source")</f>
        <v/>
      </c>
      <c r="T56">
        <f>HYPERLINK("https://www.electrive.com/2025/04/15/moke-opens-new-uk-production-facility/", "source")</f>
        <v/>
      </c>
      <c r="U56">
        <f>HYPERLINK("https://www.electrive.com/2025/04/15/moke-opens-new-uk-production-facility/", "source")</f>
        <v/>
      </c>
      <c r="V56" t="inlineStr"/>
      <c r="W56" t="inlineStr"/>
      <c r="X56">
        <f>HYPERLINK("https://www.electrive.com/2025/04/15/moke-opens-new-uk-production-facility/", "source")</f>
        <v/>
      </c>
      <c r="Y56" t="inlineStr">
        <is>
          <t>b8a358bf-46b9-5fec-b005-4b9609451c97</t>
        </is>
      </c>
    </row>
    <row r="57">
      <c r="A57" t="inlineStr">
        <is>
          <t>national electric vehicle sweden</t>
        </is>
      </c>
      <c r="B57" t="inlineStr">
        <is>
          <t>SE</t>
        </is>
      </c>
      <c r="C57" t="inlineStr">
        <is>
          <t>Trollhättan Municipality</t>
        </is>
      </c>
      <c r="D57" t="inlineStr">
        <is>
          <t>vehicle</t>
        </is>
      </c>
      <c r="E57" t="inlineStr">
        <is>
          <t>electric</t>
        </is>
      </c>
      <c r="F57" t="n">
        <v>1</v>
      </c>
      <c r="G57" t="inlineStr">
        <is>
          <t>announced</t>
        </is>
      </c>
      <c r="H57" t="n">
        <v>43000</v>
      </c>
      <c r="I57" t="n">
        <v>43000</v>
      </c>
      <c r="J57" t="n">
        <v>236500000</v>
      </c>
      <c r="K57" t="n">
        <v>236500000</v>
      </c>
      <c r="L57" t="b">
        <v>1</v>
      </c>
      <c r="M57" t="inlineStr">
        <is>
          <t>2019-04</t>
        </is>
      </c>
      <c r="N57" t="inlineStr"/>
      <c r="O57" t="inlineStr"/>
      <c r="P57" t="b">
        <v>0</v>
      </c>
      <c r="Q57" t="b">
        <v>0</v>
      </c>
      <c r="R57" t="b">
        <v>0</v>
      </c>
      <c r="S57">
        <f>HYPERLINK("https://www.electrive.com/2021/10/27/sono-still-hasnt-reached-a-production-agreement-with-nevs/", "source")</f>
        <v/>
      </c>
      <c r="T57">
        <f>HYPERLINK("https://www.electrive.com/2021/10/27/sono-still-hasnt-reached-a-production-agreement-with-nevs/", "source")</f>
        <v/>
      </c>
      <c r="U57">
        <f>HYPERLINK("https://www.electrive.com/2021/10/27/sono-still-hasnt-reached-a-production-agreement-with-nevs/", "source")</f>
        <v/>
      </c>
      <c r="V57">
        <f>HYPERLINK("https://www.electrive.com/2019/04/17/sweden-nevs-to-build-sion-ev-in-former-saab-factory/", "source")</f>
        <v/>
      </c>
      <c r="W57" t="inlineStr"/>
      <c r="X57" t="inlineStr"/>
      <c r="Y57" t="inlineStr">
        <is>
          <t>5662d2b4-7cec-5173-a2fd-72e29f1a5e78</t>
        </is>
      </c>
    </row>
    <row r="58">
      <c r="A58" t="inlineStr">
        <is>
          <t>nextego mobile</t>
        </is>
      </c>
      <c r="B58" t="inlineStr">
        <is>
          <t>BG</t>
        </is>
      </c>
      <c r="C58" t="inlineStr">
        <is>
          <t>Lovech</t>
        </is>
      </c>
      <c r="D58" t="inlineStr">
        <is>
          <t>vehicle</t>
        </is>
      </c>
      <c r="E58" t="inlineStr">
        <is>
          <t>electric</t>
        </is>
      </c>
      <c r="F58" t="n">
        <v>1</v>
      </c>
      <c r="G58" t="inlineStr">
        <is>
          <t>announced</t>
        </is>
      </c>
      <c r="H58" t="n">
        <v>30000</v>
      </c>
      <c r="I58" t="n">
        <v>30000</v>
      </c>
      <c r="J58" t="n">
        <v>140000000</v>
      </c>
      <c r="K58" t="n">
        <v>140000000</v>
      </c>
      <c r="L58" t="b">
        <v>0</v>
      </c>
      <c r="M58" t="inlineStr">
        <is>
          <t>2021-07</t>
        </is>
      </c>
      <c r="N58" t="inlineStr"/>
      <c r="O58" t="inlineStr"/>
      <c r="P58" t="b">
        <v>0</v>
      </c>
      <c r="Q58" t="b">
        <v>0</v>
      </c>
      <c r="R58" t="b">
        <v>0</v>
      </c>
      <c r="S58">
        <f>HYPERLINK("https://www.electrive.com/2021/07/15/next-e-go-mobile-to-build-plant-in-bulgaria/", "source")</f>
        <v/>
      </c>
      <c r="T58">
        <f>HYPERLINK("https://www.electrive.com/2021/07/15/next-e-go-mobile-to-build-plant-in-bulgaria/", "source")</f>
        <v/>
      </c>
      <c r="U58">
        <f>HYPERLINK("https://www.electrive.com/2021/07/15/next-e-go-mobile-to-build-plant-in-bulgaria/", "source")</f>
        <v/>
      </c>
      <c r="V58">
        <f>HYPERLINK("https://www.electrive.com/2021/07/15/next-e-go-mobile-to-build-plant-in-bulgaria/", "source")</f>
        <v/>
      </c>
      <c r="W58" t="inlineStr"/>
      <c r="X58" t="inlineStr"/>
      <c r="Y58" t="inlineStr">
        <is>
          <t>7052db58-6798-5502-8aaf-a19a8c81e3c7</t>
        </is>
      </c>
    </row>
    <row r="59">
      <c r="A59" t="inlineStr">
        <is>
          <t>nextego mobile</t>
        </is>
      </c>
      <c r="B59" t="inlineStr">
        <is>
          <t>DE</t>
        </is>
      </c>
      <c r="C59" t="inlineStr">
        <is>
          <t>Aachen</t>
        </is>
      </c>
      <c r="D59" t="inlineStr">
        <is>
          <t>vehicle</t>
        </is>
      </c>
      <c r="E59" t="inlineStr">
        <is>
          <t>electric</t>
        </is>
      </c>
      <c r="F59" t="n">
        <v>1</v>
      </c>
      <c r="G59" t="inlineStr">
        <is>
          <t>announced</t>
        </is>
      </c>
      <c r="H59" t="n">
        <v>30000</v>
      </c>
      <c r="I59" t="n">
        <v>30000</v>
      </c>
      <c r="J59" t="n">
        <v>56864851</v>
      </c>
      <c r="K59" t="n">
        <v>56864851</v>
      </c>
      <c r="L59" t="b">
        <v>0</v>
      </c>
      <c r="M59" t="inlineStr">
        <is>
          <t>2023-10</t>
        </is>
      </c>
      <c r="N59" t="inlineStr"/>
      <c r="O59" t="inlineStr"/>
      <c r="P59" t="b">
        <v>0</v>
      </c>
      <c r="Q59" t="b">
        <v>0</v>
      </c>
      <c r="R59" t="b">
        <v>0</v>
      </c>
      <c r="S59">
        <f>HYPERLINK("https://www.electrive.com/2023/10/30/next-e-go-mobile-plans-microfactory-in-the-us/", "source")</f>
        <v/>
      </c>
      <c r="T59">
        <f>HYPERLINK("https://www.electrive.com/2023/10/30/next-e-go-mobile-plans-microfactory-in-the-us/", "source")</f>
        <v/>
      </c>
      <c r="U59">
        <f>HYPERLINK("https://www.electrive.com/2023/10/30/next-e-go-mobile-plans-microfactory-in-the-us/", "source")</f>
        <v/>
      </c>
      <c r="V59">
        <f>HYPERLINK("https://www.electrive.com/2023/10/30/next-e-go-mobile-plans-microfactory-in-the-us/", "source")</f>
        <v/>
      </c>
      <c r="W59" t="inlineStr"/>
      <c r="X59" t="inlineStr"/>
      <c r="Y59" t="inlineStr">
        <is>
          <t>c81d901f-c1cf-5a50-a56a-9dd87c7c8dcc</t>
        </is>
      </c>
    </row>
    <row r="60">
      <c r="A60" t="inlineStr">
        <is>
          <t>nikola</t>
        </is>
      </c>
      <c r="B60" t="inlineStr">
        <is>
          <t>DE</t>
        </is>
      </c>
      <c r="C60" t="inlineStr">
        <is>
          <t>Ulm, Universitätsstadt</t>
        </is>
      </c>
      <c r="D60" t="inlineStr">
        <is>
          <t>vehicle</t>
        </is>
      </c>
      <c r="E60" t="inlineStr">
        <is>
          <t>electric</t>
        </is>
      </c>
      <c r="F60" t="n">
        <v>1</v>
      </c>
      <c r="G60" t="inlineStr">
        <is>
          <t>operational</t>
        </is>
      </c>
      <c r="H60" t="n">
        <v>35000</v>
      </c>
      <c r="I60" t="n">
        <v>35000</v>
      </c>
      <c r="J60" t="n">
        <v>192500000</v>
      </c>
      <c r="K60" t="n">
        <v>192500000</v>
      </c>
      <c r="L60" t="b">
        <v>1</v>
      </c>
      <c r="M60" t="inlineStr">
        <is>
          <t>2017-06</t>
        </is>
      </c>
      <c r="N60" t="inlineStr">
        <is>
          <t>2017-06</t>
        </is>
      </c>
      <c r="O60" t="inlineStr">
        <is>
          <t>2020-06</t>
        </is>
      </c>
      <c r="P60" t="b">
        <v>1</v>
      </c>
      <c r="Q60" t="b">
        <v>1</v>
      </c>
      <c r="R60" t="b">
        <v>0</v>
      </c>
      <c r="S60">
        <f>HYPERLINK("https://www.electrive.com/2020/06/15/nikola-wants-to-produce-fc-vehicles-via-joint-venture/", "source")</f>
        <v/>
      </c>
      <c r="T60">
        <f>HYPERLINK("https://www.electrive.com/2020/06/15/nikola-wants-to-produce-fc-vehicles-via-joint-venture/", "source")</f>
        <v/>
      </c>
      <c r="U60">
        <f>HYPERLINK("https://www.electrive.com/2020/06/15/nikola-wants-to-produce-fc-vehicles-via-joint-venture/", "source")</f>
        <v/>
      </c>
      <c r="V60" t="inlineStr"/>
      <c r="W60" t="inlineStr"/>
      <c r="X60">
        <f>HYPERLINK("https://www.electrive.com/2020/06/15/nikola-wants-to-produce-fc-vehicles-via-joint-venture/", "source")</f>
        <v/>
      </c>
      <c r="Y60" t="inlineStr">
        <is>
          <t>7c04cb50-9f4a-5557-9259-6d57de32effd</t>
        </is>
      </c>
    </row>
    <row r="61">
      <c r="A61" t="inlineStr">
        <is>
          <t>nissan</t>
        </is>
      </c>
      <c r="B61" t="inlineStr">
        <is>
          <t>GB</t>
        </is>
      </c>
      <c r="C61" t="inlineStr">
        <is>
          <t>Sunderland</t>
        </is>
      </c>
      <c r="D61" t="inlineStr">
        <is>
          <t>vehicle</t>
        </is>
      </c>
      <c r="E61" t="inlineStr">
        <is>
          <t>electric</t>
        </is>
      </c>
      <c r="F61" t="n">
        <v>1</v>
      </c>
      <c r="G61" t="inlineStr">
        <is>
          <t>operational</t>
        </is>
      </c>
      <c r="H61" t="n">
        <v>60000</v>
      </c>
      <c r="I61" t="n">
        <v>60000</v>
      </c>
      <c r="J61" t="n">
        <v>491141905</v>
      </c>
      <c r="K61" t="n">
        <v>491141905</v>
      </c>
      <c r="L61" t="b">
        <v>0</v>
      </c>
      <c r="M61" t="inlineStr">
        <is>
          <t>2010-03</t>
        </is>
      </c>
      <c r="N61" t="inlineStr">
        <is>
          <t>2010-03</t>
        </is>
      </c>
      <c r="O61" t="inlineStr">
        <is>
          <t>2013-01</t>
        </is>
      </c>
      <c r="P61" t="b">
        <v>0</v>
      </c>
      <c r="Q61" t="b">
        <v>1</v>
      </c>
      <c r="R61" t="b">
        <v>0</v>
      </c>
      <c r="S61">
        <f>HYPERLINK("www.placeholder.com", "source")</f>
        <v/>
      </c>
      <c r="T61">
        <f>HYPERLINK("www.placeholder.com", "source")</f>
        <v/>
      </c>
      <c r="U61">
        <f>HYPERLINK("https://www.eib.org/en/press/all/2011-167-eib-to-provide-eur-220m-to-nissan-for-production-of-the-100pct-electric-nissan-leaf-and-advanced-lithium-ion-batteries-in-sunderland?utm_source=chatgpt.com", "source")</f>
        <v/>
      </c>
      <c r="V61">
        <f>HYPERLINK("https://europe.nissannews.com/en-GB/releases/release-6480-nissan-to-build-leaf-electric-vehicle-in-sunderland?utm_source=chatgpt.com", "source")</f>
        <v/>
      </c>
      <c r="W61" t="inlineStr"/>
      <c r="X61">
        <f>HYPERLINK("www.placeholder.com", "source")</f>
        <v/>
      </c>
      <c r="Y61" t="inlineStr">
        <is>
          <t>5e64d344-4569-5f9e-bf88-fa88fa5f55de</t>
        </is>
      </c>
    </row>
    <row r="62">
      <c r="A62" t="inlineStr">
        <is>
          <t>nissan</t>
        </is>
      </c>
      <c r="B62" t="inlineStr">
        <is>
          <t>GB</t>
        </is>
      </c>
      <c r="C62" t="inlineStr">
        <is>
          <t>Sunderland</t>
        </is>
      </c>
      <c r="D62" t="inlineStr">
        <is>
          <t>vehicle</t>
        </is>
      </c>
      <c r="E62" t="inlineStr">
        <is>
          <t>electric</t>
        </is>
      </c>
      <c r="F62" t="n">
        <v>2</v>
      </c>
      <c r="G62" t="inlineStr">
        <is>
          <t>under construction</t>
        </is>
      </c>
      <c r="H62" t="inlineStr"/>
      <c r="I62" t="inlineStr"/>
      <c r="J62" t="n">
        <v>0</v>
      </c>
      <c r="K62" t="n">
        <v>41000000</v>
      </c>
      <c r="L62" t="b">
        <v>0</v>
      </c>
      <c r="M62" t="inlineStr">
        <is>
          <t>2017-12</t>
        </is>
      </c>
      <c r="N62" t="inlineStr">
        <is>
          <t>2017-12</t>
        </is>
      </c>
      <c r="O62" t="inlineStr">
        <is>
          <t>2020-12</t>
        </is>
      </c>
      <c r="P62" t="b">
        <v>0</v>
      </c>
      <c r="Q62" t="b">
        <v>0</v>
      </c>
      <c r="R62" t="b">
        <v>1</v>
      </c>
      <c r="S62">
        <f>HYPERLINK("https://www.electrive.com/2017/12/19/nissan-kick-starts-2018-leaf-production-sunderland-site-uk/", "source")</f>
        <v/>
      </c>
      <c r="T62" t="inlineStr"/>
      <c r="U62">
        <f>HYPERLINK("https://www.electrive.com/2017/12/19/nissan-kick-starts-2018-leaf-production-sunderland-site-uk/", "source")</f>
        <v/>
      </c>
      <c r="V62">
        <f>HYPERLINK("https://www.electrive.com/2017/12/19/nissan-kick-starts-2018-leaf-production-sunderland-site-uk/", "source")</f>
        <v/>
      </c>
      <c r="W62">
        <f>HYPERLINK("https://www.electrive.com/2017/12/19/nissan-kick-starts-2018-leaf-production-sunderland-site-uk/", "source")</f>
        <v/>
      </c>
      <c r="X62" t="inlineStr"/>
      <c r="Y62" t="inlineStr">
        <is>
          <t>5e64d344-4569-5f9e-bf88-fa88fa5f55de</t>
        </is>
      </c>
    </row>
    <row r="63">
      <c r="A63" t="inlineStr">
        <is>
          <t>nissan</t>
        </is>
      </c>
      <c r="B63" t="inlineStr">
        <is>
          <t>GB</t>
        </is>
      </c>
      <c r="C63" t="inlineStr">
        <is>
          <t>Sunderland</t>
        </is>
      </c>
      <c r="D63" t="inlineStr">
        <is>
          <t>vehicle</t>
        </is>
      </c>
      <c r="E63" t="inlineStr">
        <is>
          <t>electric</t>
        </is>
      </c>
      <c r="F63" t="n">
        <v>3</v>
      </c>
      <c r="G63" t="inlineStr">
        <is>
          <t>under construction</t>
        </is>
      </c>
      <c r="H63" t="n">
        <v>40000</v>
      </c>
      <c r="I63" t="n">
        <v>100000</v>
      </c>
      <c r="J63" t="n">
        <v>462572132</v>
      </c>
      <c r="K63" t="n">
        <v>503572132</v>
      </c>
      <c r="L63" t="b">
        <v>0</v>
      </c>
      <c r="M63" t="inlineStr">
        <is>
          <t>2021-07</t>
        </is>
      </c>
      <c r="N63" t="inlineStr">
        <is>
          <t>2022-09</t>
        </is>
      </c>
      <c r="O63" t="inlineStr">
        <is>
          <t>2025-09</t>
        </is>
      </c>
      <c r="P63" t="b">
        <v>0</v>
      </c>
      <c r="Q63" t="b">
        <v>0</v>
      </c>
      <c r="R63" t="b">
        <v>1</v>
      </c>
      <c r="S63">
        <f>HYPERLINK("https://www.just-auto.com/news/nissan-sunderland-adds-new-electrified-models/", "source")</f>
        <v/>
      </c>
      <c r="T63">
        <f>HYPERLINK("https://www.electrive.com/2023/11/23/nissan-to-produce-electric-qashqai-juke-in-sunderland/", "source")</f>
        <v/>
      </c>
      <c r="U63">
        <f>HYPERLINK("https://www.just-auto.com/news/nissan-sunderland-adds-new-electrified-models/", "source")</f>
        <v/>
      </c>
      <c r="V63">
        <f>HYPERLINK("https://www.electrive.com/2021/07/02/nissan-teases-crossover-bev/", "source")</f>
        <v/>
      </c>
      <c r="W63">
        <f>HYPERLINK("https://www.just-auto.com/news/nissan-sunderland-adds-new-electrified-models/", "source")</f>
        <v/>
      </c>
      <c r="X63" t="inlineStr"/>
      <c r="Y63" t="inlineStr">
        <is>
          <t>5e64d344-4569-5f9e-bf88-fa88fa5f55de</t>
        </is>
      </c>
    </row>
    <row r="64">
      <c r="A64" t="inlineStr">
        <is>
          <t>porsche</t>
        </is>
      </c>
      <c r="B64" t="inlineStr">
        <is>
          <t>DE</t>
        </is>
      </c>
      <c r="C64" t="inlineStr">
        <is>
          <t>Leipzig</t>
        </is>
      </c>
      <c r="D64" t="inlineStr">
        <is>
          <t>vehicle</t>
        </is>
      </c>
      <c r="E64" t="inlineStr">
        <is>
          <t>electric, fossil</t>
        </is>
      </c>
      <c r="F64" t="n">
        <v>1</v>
      </c>
      <c r="G64" t="inlineStr">
        <is>
          <t>operational</t>
        </is>
      </c>
      <c r="H64" t="n">
        <v>88000</v>
      </c>
      <c r="I64" t="n">
        <v>88000</v>
      </c>
      <c r="J64" t="n">
        <v>600000000</v>
      </c>
      <c r="K64" t="n">
        <v>600000000</v>
      </c>
      <c r="L64" t="b">
        <v>0</v>
      </c>
      <c r="M64" t="inlineStr">
        <is>
          <t>2019-03</t>
        </is>
      </c>
      <c r="N64" t="inlineStr">
        <is>
          <t>2022-05</t>
        </is>
      </c>
      <c r="O64" t="inlineStr">
        <is>
          <t>2025-05</t>
        </is>
      </c>
      <c r="P64" t="b">
        <v>0</v>
      </c>
      <c r="Q64" t="b">
        <v>1</v>
      </c>
      <c r="R64" t="b">
        <v>0</v>
      </c>
      <c r="S64">
        <f>HYPERLINK("https://www.koreatimes.co.kr/business/companies/20250520/porsche-committed-to-smarter-ev-production-with-modern-factories-in-leipzig-stuttgart", "source")</f>
        <v/>
      </c>
      <c r="T64">
        <f>HYPERLINK("https://www.koreatimes.co.kr/business/companies/20250520/porsche-committed-to-smarter-ev-production-with-modern-factories-in-leipzig-stuttgart", "source")</f>
        <v/>
      </c>
      <c r="U64">
        <f>HYPERLINK("https://insideevs.com/news/343339/porsche-invests-678-million-in-leipzig-to-produce-electric-macan/?utm_source=chatgpt.com", "source")</f>
        <v/>
      </c>
      <c r="V64">
        <f>HYPERLINK("https://insideevs.com/news/343339/porsche-invests-678-million-in-leipzig-to-produce-electric-macan/?utm_source=chatgpt.com", "source")</f>
        <v/>
      </c>
      <c r="W64" t="inlineStr"/>
      <c r="X64">
        <f>HYPERLINK("https://www.koreatimes.co.kr/business/companies/20250520/porsche-committed-to-smarter-ev-production-with-modern-factories-in-leipzig-stuttgart", "source")</f>
        <v/>
      </c>
      <c r="Y64" t="inlineStr">
        <is>
          <t>9311c3f8-c039-5308-950d-a65fac17b75a</t>
        </is>
      </c>
    </row>
    <row r="65">
      <c r="A65" t="inlineStr">
        <is>
          <t>porsche</t>
        </is>
      </c>
      <c r="B65" t="inlineStr">
        <is>
          <t>DE</t>
        </is>
      </c>
      <c r="C65" t="inlineStr">
        <is>
          <t>Stuttgart</t>
        </is>
      </c>
      <c r="D65" t="inlineStr">
        <is>
          <t>vehicle</t>
        </is>
      </c>
      <c r="E65" t="inlineStr">
        <is>
          <t>electric</t>
        </is>
      </c>
      <c r="F65" t="n">
        <v>1</v>
      </c>
      <c r="G65" t="inlineStr">
        <is>
          <t>operational</t>
        </is>
      </c>
      <c r="H65" t="n">
        <v>20000</v>
      </c>
      <c r="I65" t="n">
        <v>20000</v>
      </c>
      <c r="J65" t="inlineStr"/>
      <c r="K65" t="inlineStr"/>
      <c r="L65" t="b">
        <v>0</v>
      </c>
      <c r="M65" t="inlineStr">
        <is>
          <t>2015-10</t>
        </is>
      </c>
      <c r="N65" t="inlineStr">
        <is>
          <t>2015-10</t>
        </is>
      </c>
      <c r="O65" t="inlineStr">
        <is>
          <t>2018-10</t>
        </is>
      </c>
      <c r="P65" t="b">
        <v>1</v>
      </c>
      <c r="Q65" t="b">
        <v>1</v>
      </c>
      <c r="R65" t="b">
        <v>0</v>
      </c>
      <c r="S65">
        <f>HYPERLINK("https://www.electrive.com/2018/10/15/porsche-accelerating-their-mission-electrification/", "source")</f>
        <v/>
      </c>
      <c r="T65">
        <f>HYPERLINK("https://www.electrive.com/2018/10/15/porsche-accelerating-their-mission-electrification/", "source")</f>
        <v/>
      </c>
      <c r="U65" t="inlineStr"/>
      <c r="V65" t="inlineStr"/>
      <c r="W65" t="inlineStr"/>
      <c r="X65">
        <f>HYPERLINK("https://www.electrive.com/2018/10/15/porsche-accelerating-their-mission-electrification/", "source")</f>
        <v/>
      </c>
      <c r="Y65" t="inlineStr">
        <is>
          <t>e0deb0c5-7e13-5088-bec9-a1407dadfd4e</t>
        </is>
      </c>
    </row>
    <row r="66">
      <c r="A66" t="inlineStr">
        <is>
          <t>porsche</t>
        </is>
      </c>
      <c r="B66" t="inlineStr">
        <is>
          <t>DE</t>
        </is>
      </c>
      <c r="C66" t="inlineStr">
        <is>
          <t>Stuttgart</t>
        </is>
      </c>
      <c r="D66" t="inlineStr">
        <is>
          <t>vehicle</t>
        </is>
      </c>
      <c r="E66" t="inlineStr">
        <is>
          <t>electric</t>
        </is>
      </c>
      <c r="F66" t="n">
        <v>2</v>
      </c>
      <c r="G66" t="inlineStr">
        <is>
          <t>operational</t>
        </is>
      </c>
      <c r="H66" t="n">
        <v>40000</v>
      </c>
      <c r="I66" t="n">
        <v>60000</v>
      </c>
      <c r="J66" t="inlineStr"/>
      <c r="K66" t="inlineStr"/>
      <c r="L66" t="b">
        <v>0</v>
      </c>
      <c r="M66" t="inlineStr">
        <is>
          <t>2018-10</t>
        </is>
      </c>
      <c r="N66" t="inlineStr">
        <is>
          <t>2018-10</t>
        </is>
      </c>
      <c r="O66" t="inlineStr">
        <is>
          <t>2019-07</t>
        </is>
      </c>
      <c r="P66" t="b">
        <v>0</v>
      </c>
      <c r="Q66" t="b">
        <v>1</v>
      </c>
      <c r="R66" t="b">
        <v>0</v>
      </c>
      <c r="S66">
        <f>HYPERLINK("https://www.electrive.com/2019/07/03/porsch-undertaking-last-tests-on-the-taycan/", "source")</f>
        <v/>
      </c>
      <c r="T66">
        <f>HYPERLINK("https://www.electrive.com/2019/07/03/porsch-undertaking-last-tests-on-the-taycan/", "source")</f>
        <v/>
      </c>
      <c r="U66" t="inlineStr"/>
      <c r="V66">
        <f>HYPERLINK("https://www.electrive.com/2018/10/15/porsche-accelerating-their-mission-electrification/", "source")</f>
        <v/>
      </c>
      <c r="W66" t="inlineStr"/>
      <c r="X66">
        <f>HYPERLINK("https://www.electrive.com/2019/07/03/porsch-undertaking-last-tests-on-the-taycan/", "source")</f>
        <v/>
      </c>
      <c r="Y66" t="inlineStr">
        <is>
          <t>e0deb0c5-7e13-5088-bec9-a1407dadfd4e</t>
        </is>
      </c>
    </row>
    <row r="67">
      <c r="A67" t="inlineStr">
        <is>
          <t>porsche ag</t>
        </is>
      </c>
      <c r="B67" t="inlineStr">
        <is>
          <t>DE</t>
        </is>
      </c>
      <c r="C67" t="inlineStr">
        <is>
          <t>Leipzig</t>
        </is>
      </c>
      <c r="D67" t="inlineStr">
        <is>
          <t>vehicle</t>
        </is>
      </c>
      <c r="E67" t="inlineStr">
        <is>
          <t>electric</t>
        </is>
      </c>
      <c r="F67" t="n">
        <v>1</v>
      </c>
      <c r="G67" t="inlineStr">
        <is>
          <t>operational</t>
        </is>
      </c>
      <c r="H67" t="inlineStr"/>
      <c r="I67" t="inlineStr"/>
      <c r="J67" t="n">
        <v>600000000</v>
      </c>
      <c r="K67" t="n">
        <v>600000000</v>
      </c>
      <c r="L67" t="b">
        <v>0</v>
      </c>
      <c r="M67" t="inlineStr"/>
      <c r="N67" t="inlineStr"/>
      <c r="O67" t="inlineStr"/>
      <c r="P67" t="b">
        <v>0</v>
      </c>
      <c r="Q67" t="b">
        <v>0</v>
      </c>
      <c r="R67" t="b">
        <v>0</v>
      </c>
      <c r="S67">
        <f>HYPERLINK("https://newsroom.porsche.com/en/2024/company/porsche-elektromobilitaet-plant-leipzig-36211.html?utm_source=chatgpt.com", "source")</f>
        <v/>
      </c>
      <c r="T67" t="inlineStr"/>
      <c r="U67">
        <f>HYPERLINK("https://newsroom.porsche.com/en/2024/company/porsche-elektromobilitaet-plant-leipzig-36211.html?utm_source=chatgpt.com", "source")</f>
        <v/>
      </c>
      <c r="V67" t="inlineStr"/>
      <c r="W67" t="inlineStr"/>
      <c r="X67" t="inlineStr"/>
      <c r="Y67" t="inlineStr">
        <is>
          <t>ba28dadc-cdb3-5bb9-92d3-3a468e740411</t>
        </is>
      </c>
    </row>
    <row r="68">
      <c r="A68" t="inlineStr">
        <is>
          <t>range rover</t>
        </is>
      </c>
      <c r="B68" t="inlineStr">
        <is>
          <t>GB</t>
        </is>
      </c>
      <c r="C68" t="inlineStr">
        <is>
          <t>Knowsley</t>
        </is>
      </c>
      <c r="D68" t="inlineStr">
        <is>
          <t>vehicle</t>
        </is>
      </c>
      <c r="E68" t="inlineStr">
        <is>
          <t>electric</t>
        </is>
      </c>
      <c r="F68" t="n">
        <v>1</v>
      </c>
      <c r="G68" t="inlineStr">
        <is>
          <t>operational</t>
        </is>
      </c>
      <c r="H68" t="n">
        <v>60000</v>
      </c>
      <c r="I68" t="n">
        <v>60000</v>
      </c>
      <c r="J68" t="n">
        <v>330000000</v>
      </c>
      <c r="K68" t="n">
        <v>330000000</v>
      </c>
      <c r="L68" t="b">
        <v>1</v>
      </c>
      <c r="M68" t="inlineStr">
        <is>
          <t>2022-07</t>
        </is>
      </c>
      <c r="N68" t="inlineStr">
        <is>
          <t>2022-07</t>
        </is>
      </c>
      <c r="O68" t="inlineStr">
        <is>
          <t>2025-07</t>
        </is>
      </c>
      <c r="P68" t="b">
        <v>1</v>
      </c>
      <c r="Q68" t="b">
        <v>1</v>
      </c>
      <c r="R68" t="b">
        <v>0</v>
      </c>
      <c r="S68">
        <f>HYPERLINK("https://www.autoexpress.co.uk/land-rover/367341/range-rovers-secret-mid-size-ev-inside-its-ps500m-factory", "source")</f>
        <v/>
      </c>
      <c r="T68">
        <f>HYPERLINK("https://www.autoexpress.co.uk/land-rover/367341/range-rovers-secret-mid-size-ev-inside-its-ps500m-factory", "source")</f>
        <v/>
      </c>
      <c r="U68">
        <f>HYPERLINK("https://www.autoexpress.co.uk/land-rover/367341/range-rovers-secret-mid-size-ev-inside-its-ps500m-factory", "source")</f>
        <v/>
      </c>
      <c r="V68" t="inlineStr"/>
      <c r="W68" t="inlineStr"/>
      <c r="X68">
        <f>HYPERLINK("https://www.autoexpress.co.uk/land-rover/367341/range-rovers-secret-mid-size-ev-inside-its-ps500m-factory", "source")</f>
        <v/>
      </c>
      <c r="Y68" t="inlineStr">
        <is>
          <t>1e3cfd55-65ec-592b-9260-72b4b4e8372f</t>
        </is>
      </c>
    </row>
    <row r="69">
      <c r="A69" t="inlineStr">
        <is>
          <t>renault</t>
        </is>
      </c>
      <c r="B69" t="inlineStr">
        <is>
          <t>FR</t>
        </is>
      </c>
      <c r="C69" t="inlineStr">
        <is>
          <t>Batilly</t>
        </is>
      </c>
      <c r="D69" t="inlineStr">
        <is>
          <t>vehicle</t>
        </is>
      </c>
      <c r="E69" t="inlineStr">
        <is>
          <t>electric</t>
        </is>
      </c>
      <c r="F69" t="n">
        <v>1</v>
      </c>
      <c r="G69" t="inlineStr">
        <is>
          <t>operational</t>
        </is>
      </c>
      <c r="H69" t="n">
        <v>0</v>
      </c>
      <c r="I69" t="n">
        <v>0</v>
      </c>
      <c r="J69" t="n">
        <v>0</v>
      </c>
      <c r="K69" t="n">
        <v>0</v>
      </c>
      <c r="L69" t="b">
        <v>1</v>
      </c>
      <c r="M69" t="inlineStr">
        <is>
          <t>2016-12</t>
        </is>
      </c>
      <c r="N69" t="inlineStr">
        <is>
          <t>2016-12</t>
        </is>
      </c>
      <c r="O69" t="inlineStr">
        <is>
          <t>2019-12</t>
        </is>
      </c>
      <c r="P69" t="b">
        <v>1</v>
      </c>
      <c r="Q69" t="b">
        <v>1</v>
      </c>
      <c r="R69" t="b">
        <v>0</v>
      </c>
      <c r="S69">
        <f>HYPERLINK("www.placeholder.com", "source")</f>
        <v/>
      </c>
      <c r="T69">
        <f>HYPERLINK("www.placeholder.com", "source")</f>
        <v/>
      </c>
      <c r="U69">
        <f>HYPERLINK("www.placeholder.com", "source")</f>
        <v/>
      </c>
      <c r="V69" t="inlineStr"/>
      <c r="W69" t="inlineStr"/>
      <c r="X69">
        <f>HYPERLINK("www.placeholder.com", "source")</f>
        <v/>
      </c>
      <c r="Y69" t="inlineStr">
        <is>
          <t>307c4123-5be8-5174-ad9d-1840e75df719</t>
        </is>
      </c>
    </row>
    <row r="70">
      <c r="A70" t="inlineStr">
        <is>
          <t>renault</t>
        </is>
      </c>
      <c r="B70" t="inlineStr">
        <is>
          <t>FR</t>
        </is>
      </c>
      <c r="C70" t="inlineStr">
        <is>
          <t>Dieppe</t>
        </is>
      </c>
      <c r="D70" t="inlineStr">
        <is>
          <t>vehicle</t>
        </is>
      </c>
      <c r="E70" t="inlineStr">
        <is>
          <t>electric</t>
        </is>
      </c>
      <c r="F70" t="n">
        <v>1</v>
      </c>
      <c r="G70" t="inlineStr">
        <is>
          <t>under construction</t>
        </is>
      </c>
      <c r="H70" t="n">
        <v>5500</v>
      </c>
      <c r="I70" t="n">
        <v>5500</v>
      </c>
      <c r="J70" t="n">
        <v>11000000</v>
      </c>
      <c r="K70" t="n">
        <v>11000000</v>
      </c>
      <c r="L70" t="b">
        <v>1</v>
      </c>
      <c r="M70" t="inlineStr">
        <is>
          <t>2023-09</t>
        </is>
      </c>
      <c r="N70" t="inlineStr">
        <is>
          <t>2023-09</t>
        </is>
      </c>
      <c r="O70" t="inlineStr">
        <is>
          <t>2026-09</t>
        </is>
      </c>
      <c r="P70" t="b">
        <v>0</v>
      </c>
      <c r="Q70" t="b">
        <v>0</v>
      </c>
      <c r="R70" t="b">
        <v>1</v>
      </c>
      <c r="S70">
        <f>HYPERLINK("https://www.just-auto.com/features/renault-group-future-models-alpine-dacia/", "source")</f>
        <v/>
      </c>
      <c r="T70">
        <f>HYPERLINK("https://www.just-auto.com/features/renault-group-future-models-alpine-dacia/", "source")</f>
        <v/>
      </c>
      <c r="U70">
        <f>HYPERLINK("https://www.just-auto.com/features/renault-group-future-models-alpine-dacia/", "source")</f>
        <v/>
      </c>
      <c r="V70">
        <f>HYPERLINK("https://www.just-auto.com/features/renault-group-future-models-alpine-dacia/", "source")</f>
        <v/>
      </c>
      <c r="W70">
        <f>HYPERLINK("https://www.just-auto.com/features/renault-group-future-models-alpine-dacia/", "source")</f>
        <v/>
      </c>
      <c r="X70" t="inlineStr"/>
      <c r="Y70" t="inlineStr">
        <is>
          <t>741f8ad2-96e1-518e-9978-4ff25b8f449d</t>
        </is>
      </c>
    </row>
    <row r="71">
      <c r="A71" t="inlineStr">
        <is>
          <t>renault</t>
        </is>
      </c>
      <c r="B71" t="inlineStr">
        <is>
          <t>FR</t>
        </is>
      </c>
      <c r="C71" t="inlineStr">
        <is>
          <t>Douai</t>
        </is>
      </c>
      <c r="D71" t="inlineStr">
        <is>
          <t>vehicle</t>
        </is>
      </c>
      <c r="E71" t="inlineStr">
        <is>
          <t>electric, hydrogen</t>
        </is>
      </c>
      <c r="F71" t="n">
        <v>1</v>
      </c>
      <c r="G71" t="inlineStr">
        <is>
          <t>operational</t>
        </is>
      </c>
      <c r="H71" t="n">
        <v>120000</v>
      </c>
      <c r="I71" t="n">
        <v>120000</v>
      </c>
      <c r="J71" t="n">
        <v>550000000</v>
      </c>
      <c r="K71" t="n">
        <v>550000000</v>
      </c>
      <c r="L71" t="b">
        <v>0</v>
      </c>
      <c r="M71" t="inlineStr">
        <is>
          <t>2021-09</t>
        </is>
      </c>
      <c r="N71" t="inlineStr">
        <is>
          <t>2021-09</t>
        </is>
      </c>
      <c r="O71" t="inlineStr">
        <is>
          <t>2022-12</t>
        </is>
      </c>
      <c r="P71" t="b">
        <v>0</v>
      </c>
      <c r="Q71" t="b">
        <v>0</v>
      </c>
      <c r="R71" t="b">
        <v>0</v>
      </c>
      <c r="S71">
        <f>HYPERLINK("www.placeholder.com", "source")</f>
        <v/>
      </c>
      <c r="T71">
        <f>HYPERLINK("www.placeholder.com", "source")</f>
        <v/>
      </c>
      <c r="U71">
        <f>HYPERLINK("https://www.electrive.com/2021/09/22/renault-begins-retooling-douai-plant-for-bev-production/", "source")</f>
        <v/>
      </c>
      <c r="V71">
        <f>HYPERLINK("https://www.electrive.com/2021/09/22/renault-begins-retooling-douai-plant-for-bev-production/", "source")</f>
        <v/>
      </c>
      <c r="W71">
        <f>HYPERLINK("https://www.electrive.com/2021/09/22/renault-begins-retooling-douai-plant-for-bev-production/", "source")</f>
        <v/>
      </c>
      <c r="X71">
        <f>HYPERLINK("www.placeholder.com", "source")</f>
        <v/>
      </c>
      <c r="Y71" t="inlineStr">
        <is>
          <t>252dc9b3-ab0a-55e9-873c-064f96c53ea6</t>
        </is>
      </c>
    </row>
    <row r="72">
      <c r="A72" t="inlineStr">
        <is>
          <t>renault</t>
        </is>
      </c>
      <c r="B72" t="inlineStr">
        <is>
          <t>FR</t>
        </is>
      </c>
      <c r="C72" t="inlineStr">
        <is>
          <t>Flins-sur-Seine</t>
        </is>
      </c>
      <c r="D72" t="inlineStr">
        <is>
          <t>vehicle</t>
        </is>
      </c>
      <c r="E72" t="inlineStr">
        <is>
          <t>electric</t>
        </is>
      </c>
      <c r="F72" t="n">
        <v>1</v>
      </c>
      <c r="G72" t="inlineStr">
        <is>
          <t>operational</t>
        </is>
      </c>
      <c r="H72" t="n">
        <v>80000</v>
      </c>
      <c r="I72" t="n">
        <v>80000</v>
      </c>
      <c r="J72" t="n">
        <v>160000000</v>
      </c>
      <c r="K72" t="n">
        <v>160000000</v>
      </c>
      <c r="L72" t="b">
        <v>1</v>
      </c>
      <c r="M72" t="inlineStr">
        <is>
          <t>2010-12</t>
        </is>
      </c>
      <c r="N72" t="inlineStr">
        <is>
          <t>2010-12</t>
        </is>
      </c>
      <c r="O72" t="inlineStr">
        <is>
          <t>2013-12</t>
        </is>
      </c>
      <c r="P72" t="b">
        <v>1</v>
      </c>
      <c r="Q72" t="b">
        <v>1</v>
      </c>
      <c r="R72" t="b">
        <v>0</v>
      </c>
      <c r="S72">
        <f>HYPERLINK("www.placeholder.com", "source")</f>
        <v/>
      </c>
      <c r="T72">
        <f>HYPERLINK("www.placeholder.com", "source")</f>
        <v/>
      </c>
      <c r="U72">
        <f>HYPERLINK("www.placeholder.com", "source")</f>
        <v/>
      </c>
      <c r="V72" t="inlineStr"/>
      <c r="W72" t="inlineStr"/>
      <c r="X72">
        <f>HYPERLINK("www.placeholder.com", "source")</f>
        <v/>
      </c>
      <c r="Y72" t="inlineStr">
        <is>
          <t>5140a707-9f43-506f-868e-0bce2129328e</t>
        </is>
      </c>
    </row>
    <row r="73">
      <c r="A73" t="inlineStr">
        <is>
          <t>renault</t>
        </is>
      </c>
      <c r="B73" t="inlineStr">
        <is>
          <t>FR</t>
        </is>
      </c>
      <c r="C73" t="inlineStr">
        <is>
          <t>Flins-sur-Seine</t>
        </is>
      </c>
      <c r="D73" t="inlineStr">
        <is>
          <t>vehicle</t>
        </is>
      </c>
      <c r="E73" t="inlineStr">
        <is>
          <t>electric</t>
        </is>
      </c>
      <c r="F73" t="n">
        <v>2</v>
      </c>
      <c r="G73" t="inlineStr">
        <is>
          <t>operational</t>
        </is>
      </c>
      <c r="H73" t="n">
        <v>80000</v>
      </c>
      <c r="I73" t="n">
        <v>160000</v>
      </c>
      <c r="J73" t="n">
        <v>160000000</v>
      </c>
      <c r="K73" t="n">
        <v>320000000</v>
      </c>
      <c r="L73" t="b">
        <v>1</v>
      </c>
      <c r="M73" t="inlineStr">
        <is>
          <t>2017-12</t>
        </is>
      </c>
      <c r="N73" t="inlineStr">
        <is>
          <t>2017-12</t>
        </is>
      </c>
      <c r="O73" t="inlineStr">
        <is>
          <t>2020-12</t>
        </is>
      </c>
      <c r="P73" t="b">
        <v>1</v>
      </c>
      <c r="Q73" t="b">
        <v>1</v>
      </c>
      <c r="R73" t="b">
        <v>0</v>
      </c>
      <c r="S73">
        <f>HYPERLINK("www.placeholder.com", "source")</f>
        <v/>
      </c>
      <c r="T73">
        <f>HYPERLINK("www.placeholder.com", "source")</f>
        <v/>
      </c>
      <c r="U73">
        <f>HYPERLINK("www.placeholder.com", "source")</f>
        <v/>
      </c>
      <c r="V73" t="inlineStr"/>
      <c r="W73" t="inlineStr"/>
      <c r="X73">
        <f>HYPERLINK("www.placeholder.com", "source")</f>
        <v/>
      </c>
      <c r="Y73" t="inlineStr">
        <is>
          <t>5140a707-9f43-506f-868e-0bce2129328e</t>
        </is>
      </c>
    </row>
    <row r="74">
      <c r="A74" t="inlineStr">
        <is>
          <t>renault</t>
        </is>
      </c>
      <c r="B74" t="inlineStr">
        <is>
          <t>FR</t>
        </is>
      </c>
      <c r="C74" t="inlineStr">
        <is>
          <t>Flins-sur-Seine</t>
        </is>
      </c>
      <c r="D74" t="inlineStr">
        <is>
          <t>vehicle</t>
        </is>
      </c>
      <c r="E74" t="inlineStr">
        <is>
          <t>electric</t>
        </is>
      </c>
      <c r="F74" t="n">
        <v>3</v>
      </c>
      <c r="G74" t="inlineStr">
        <is>
          <t>operational</t>
        </is>
      </c>
      <c r="H74" t="n">
        <v>0</v>
      </c>
      <c r="I74" t="n">
        <v>0</v>
      </c>
      <c r="J74" t="n">
        <v>0</v>
      </c>
      <c r="K74" t="n">
        <v>320000000</v>
      </c>
      <c r="L74" t="b">
        <v>1</v>
      </c>
      <c r="M74" t="inlineStr">
        <is>
          <t>2021-12</t>
        </is>
      </c>
      <c r="N74" t="inlineStr">
        <is>
          <t>2021-12</t>
        </is>
      </c>
      <c r="O74" t="inlineStr">
        <is>
          <t>2024-12</t>
        </is>
      </c>
      <c r="P74" t="b">
        <v>1</v>
      </c>
      <c r="Q74" t="b">
        <v>1</v>
      </c>
      <c r="R74" t="b">
        <v>0</v>
      </c>
      <c r="S74">
        <f>HYPERLINK("www.placeholder.com", "source")</f>
        <v/>
      </c>
      <c r="T74">
        <f>HYPERLINK("www.placeholder.com", "source")</f>
        <v/>
      </c>
      <c r="U74">
        <f>HYPERLINK("www.placeholder.com", "source")</f>
        <v/>
      </c>
      <c r="V74" t="inlineStr"/>
      <c r="W74" t="inlineStr"/>
      <c r="X74">
        <f>HYPERLINK("www.placeholder.com", "source")</f>
        <v/>
      </c>
      <c r="Y74" t="inlineStr">
        <is>
          <t>5140a707-9f43-506f-868e-0bce2129328e</t>
        </is>
      </c>
    </row>
    <row r="75">
      <c r="A75" t="inlineStr">
        <is>
          <t>renault</t>
        </is>
      </c>
      <c r="B75" t="inlineStr">
        <is>
          <t>FR</t>
        </is>
      </c>
      <c r="C75" t="inlineStr">
        <is>
          <t>Maubeuge</t>
        </is>
      </c>
      <c r="D75" t="inlineStr">
        <is>
          <t>vehicle</t>
        </is>
      </c>
      <c r="E75" t="inlineStr">
        <is>
          <t>electric</t>
        </is>
      </c>
      <c r="F75" t="n">
        <v>1</v>
      </c>
      <c r="G75" t="inlineStr">
        <is>
          <t>operational</t>
        </is>
      </c>
      <c r="H75" t="n">
        <v>20000</v>
      </c>
      <c r="I75" t="n">
        <v>20000</v>
      </c>
      <c r="J75" t="n">
        <v>110000000</v>
      </c>
      <c r="K75" t="n">
        <v>110000000</v>
      </c>
      <c r="L75" t="b">
        <v>1</v>
      </c>
      <c r="M75" t="inlineStr">
        <is>
          <t>2008-12</t>
        </is>
      </c>
      <c r="N75" t="inlineStr">
        <is>
          <t>2008-12</t>
        </is>
      </c>
      <c r="O75" t="inlineStr">
        <is>
          <t>2011-12</t>
        </is>
      </c>
      <c r="P75" t="b">
        <v>1</v>
      </c>
      <c r="Q75" t="b">
        <v>1</v>
      </c>
      <c r="R75" t="b">
        <v>0</v>
      </c>
      <c r="S75">
        <f>HYPERLINK("www.placeholder.com", "source")</f>
        <v/>
      </c>
      <c r="T75">
        <f>HYPERLINK("www.placeholder.com", "source")</f>
        <v/>
      </c>
      <c r="U75">
        <f>HYPERLINK("www.placeholder.com", "source")</f>
        <v/>
      </c>
      <c r="V75" t="inlineStr"/>
      <c r="W75" t="inlineStr"/>
      <c r="X75">
        <f>HYPERLINK("www.placeholder.com", "source")</f>
        <v/>
      </c>
      <c r="Y75" t="inlineStr">
        <is>
          <t>ae2d47e1-87d3-57a5-a054-c96dec440280</t>
        </is>
      </c>
    </row>
    <row r="76">
      <c r="A76" t="inlineStr">
        <is>
          <t>renault</t>
        </is>
      </c>
      <c r="B76" t="inlineStr">
        <is>
          <t>FR</t>
        </is>
      </c>
      <c r="C76" t="inlineStr">
        <is>
          <t>Maubeuge</t>
        </is>
      </c>
      <c r="D76" t="inlineStr">
        <is>
          <t>vehicle</t>
        </is>
      </c>
      <c r="E76" t="inlineStr">
        <is>
          <t>electric</t>
        </is>
      </c>
      <c r="F76" t="n">
        <v>2</v>
      </c>
      <c r="G76" t="inlineStr">
        <is>
          <t>operational</t>
        </is>
      </c>
      <c r="H76" t="n">
        <v>20000</v>
      </c>
      <c r="I76" t="n">
        <v>40000</v>
      </c>
      <c r="J76" t="n">
        <v>110000000</v>
      </c>
      <c r="K76" t="n">
        <v>220000000</v>
      </c>
      <c r="L76" t="b">
        <v>1</v>
      </c>
      <c r="M76" t="inlineStr">
        <is>
          <t>2020-12</t>
        </is>
      </c>
      <c r="N76" t="inlineStr">
        <is>
          <t>2020-12</t>
        </is>
      </c>
      <c r="O76" t="inlineStr">
        <is>
          <t>2023-12</t>
        </is>
      </c>
      <c r="P76" t="b">
        <v>1</v>
      </c>
      <c r="Q76" t="b">
        <v>1</v>
      </c>
      <c r="R76" t="b">
        <v>0</v>
      </c>
      <c r="S76">
        <f>HYPERLINK("www.placeholder.com", "source")</f>
        <v/>
      </c>
      <c r="T76">
        <f>HYPERLINK("www.placeholder.com", "source")</f>
        <v/>
      </c>
      <c r="U76">
        <f>HYPERLINK("www.placeholder.com", "source")</f>
        <v/>
      </c>
      <c r="V76" t="inlineStr"/>
      <c r="W76" t="inlineStr"/>
      <c r="X76">
        <f>HYPERLINK("www.placeholder.com", "source")</f>
        <v/>
      </c>
      <c r="Y76" t="inlineStr">
        <is>
          <t>ae2d47e1-87d3-57a5-a054-c96dec440280</t>
        </is>
      </c>
    </row>
    <row r="77">
      <c r="A77" t="inlineStr">
        <is>
          <t>renault</t>
        </is>
      </c>
      <c r="B77" t="inlineStr">
        <is>
          <t>FR</t>
        </is>
      </c>
      <c r="C77" t="inlineStr">
        <is>
          <t>Sandouville</t>
        </is>
      </c>
      <c r="D77" t="inlineStr">
        <is>
          <t>vehicle</t>
        </is>
      </c>
      <c r="E77" t="inlineStr">
        <is>
          <t>electric</t>
        </is>
      </c>
      <c r="F77" t="n">
        <v>1</v>
      </c>
      <c r="G77" t="inlineStr">
        <is>
          <t>under construction</t>
        </is>
      </c>
      <c r="H77" t="inlineStr"/>
      <c r="I77" t="inlineStr"/>
      <c r="J77" t="n">
        <v>300000000</v>
      </c>
      <c r="K77" t="n">
        <v>300000000</v>
      </c>
      <c r="L77" t="b">
        <v>0</v>
      </c>
      <c r="M77" t="inlineStr">
        <is>
          <t>2024-03</t>
        </is>
      </c>
      <c r="N77" t="inlineStr">
        <is>
          <t>2024-03</t>
        </is>
      </c>
      <c r="O77" t="inlineStr">
        <is>
          <t>2027-03</t>
        </is>
      </c>
      <c r="P77" t="b">
        <v>0</v>
      </c>
      <c r="Q77" t="b">
        <v>0</v>
      </c>
      <c r="R77" t="b">
        <v>1</v>
      </c>
      <c r="S77">
        <f>HYPERLINK("https://www.reuters.com/business/autos-transportation/renault-invest-320-million-hire-550-workers-make-electric-vans-northern-france-2024-03-29/?utm_source=chatgpt.com", "source")</f>
        <v/>
      </c>
      <c r="T77" t="inlineStr"/>
      <c r="U77">
        <f>HYPERLINK("https://www.reuters.com/business/autos-transportation/renault-invest-320-million-hire-550-workers-make-electric-vans-northern-france-2024-03-29/?utm_source=chatgpt.com", "source")</f>
        <v/>
      </c>
      <c r="V77">
        <f>HYPERLINK("https://www.reuters.com/business/autos-transportation/renault-invest-320-million-hire-550-workers-make-electric-vans-northern-france-2024-03-29/?utm_source=chatgpt.com", "source")</f>
        <v/>
      </c>
      <c r="W77">
        <f>HYPERLINK("https://www.reuters.com/business/autos-transportation/renault-invest-320-million-hire-550-workers-make-electric-vans-northern-france-2024-03-29/?utm_source=chatgpt.com", "source")</f>
        <v/>
      </c>
      <c r="X77" t="inlineStr"/>
      <c r="Y77" t="inlineStr">
        <is>
          <t>424b7ed5-fc12-5e41-b341-a5b1dde327f5</t>
        </is>
      </c>
    </row>
    <row r="78">
      <c r="A78" t="inlineStr">
        <is>
          <t>renault</t>
        </is>
      </c>
      <c r="B78" t="inlineStr">
        <is>
          <t>SI</t>
        </is>
      </c>
      <c r="C78" t="inlineStr">
        <is>
          <t>Novo Mesto</t>
        </is>
      </c>
      <c r="D78" t="inlineStr">
        <is>
          <t>vehicle</t>
        </is>
      </c>
      <c r="E78" t="inlineStr">
        <is>
          <t>electric</t>
        </is>
      </c>
      <c r="F78" t="n">
        <v>1</v>
      </c>
      <c r="G78" t="inlineStr">
        <is>
          <t>operational</t>
        </is>
      </c>
      <c r="H78" t="n">
        <v>40000</v>
      </c>
      <c r="I78" t="n">
        <v>40000</v>
      </c>
      <c r="J78" t="n">
        <v>220000000</v>
      </c>
      <c r="K78" t="n">
        <v>220000000</v>
      </c>
      <c r="L78" t="b">
        <v>1</v>
      </c>
      <c r="M78" t="inlineStr">
        <is>
          <t>2017-12</t>
        </is>
      </c>
      <c r="N78" t="inlineStr">
        <is>
          <t>2017-12</t>
        </is>
      </c>
      <c r="O78" t="inlineStr">
        <is>
          <t>2020-12</t>
        </is>
      </c>
      <c r="P78" t="b">
        <v>1</v>
      </c>
      <c r="Q78" t="b">
        <v>1</v>
      </c>
      <c r="R78" t="b">
        <v>0</v>
      </c>
      <c r="S78">
        <f>HYPERLINK("www.placeholder.com", "source")</f>
        <v/>
      </c>
      <c r="T78">
        <f>HYPERLINK("www.placeholder.com", "source")</f>
        <v/>
      </c>
      <c r="U78">
        <f>HYPERLINK("www.placeholder.com", "source")</f>
        <v/>
      </c>
      <c r="V78" t="inlineStr"/>
      <c r="W78" t="inlineStr"/>
      <c r="X78">
        <f>HYPERLINK("www.placeholder.com", "source")</f>
        <v/>
      </c>
      <c r="Y78" t="inlineStr">
        <is>
          <t>cae893de-e792-5121-b6a8-75f1cf517027</t>
        </is>
      </c>
    </row>
    <row r="79">
      <c r="A79" t="inlineStr">
        <is>
          <t>renault</t>
        </is>
      </c>
      <c r="B79" t="inlineStr">
        <is>
          <t>SI</t>
        </is>
      </c>
      <c r="C79" t="inlineStr">
        <is>
          <t>Novo Mesto</t>
        </is>
      </c>
      <c r="D79" t="inlineStr">
        <is>
          <t>vehicle</t>
        </is>
      </c>
      <c r="E79" t="inlineStr">
        <is>
          <t>electric</t>
        </is>
      </c>
      <c r="F79" t="n">
        <v>2</v>
      </c>
      <c r="G79" t="inlineStr">
        <is>
          <t>under construction</t>
        </is>
      </c>
      <c r="H79" t="n">
        <v>110000</v>
      </c>
      <c r="I79" t="n">
        <v>150000</v>
      </c>
      <c r="J79" t="n">
        <v>605000000</v>
      </c>
      <c r="K79" t="n">
        <v>825000000</v>
      </c>
      <c r="L79" t="b">
        <v>1</v>
      </c>
      <c r="M79" t="inlineStr">
        <is>
          <t>2024-07</t>
        </is>
      </c>
      <c r="N79" t="inlineStr">
        <is>
          <t>2024-07</t>
        </is>
      </c>
      <c r="O79" t="inlineStr">
        <is>
          <t>2027-07</t>
        </is>
      </c>
      <c r="P79" t="b">
        <v>0</v>
      </c>
      <c r="Q79" t="b">
        <v>0</v>
      </c>
      <c r="R79" t="b">
        <v>1</v>
      </c>
      <c r="S79">
        <f>HYPERLINK("https://www.electrive.com/2024/07/25/renault-to-build-new-electric-twingo-in-slovenia/", "source")</f>
        <v/>
      </c>
      <c r="T79">
        <f>HYPERLINK("https://www.electrive.com/2024/07/25/renault-to-build-new-electric-twingo-in-slovenia/", "source")</f>
        <v/>
      </c>
      <c r="U79">
        <f>HYPERLINK("https://www.electrive.com/2024/07/25/renault-to-build-new-electric-twingo-in-slovenia/", "source")</f>
        <v/>
      </c>
      <c r="V79">
        <f>HYPERLINK("https://www.electrive.com/2024/07/25/renault-to-build-new-electric-twingo-in-slovenia/", "source")</f>
        <v/>
      </c>
      <c r="W79">
        <f>HYPERLINK("https://www.electrive.com/2024/07/25/renault-to-build-new-electric-twingo-in-slovenia/", "source")</f>
        <v/>
      </c>
      <c r="X79" t="inlineStr"/>
      <c r="Y79" t="inlineStr">
        <is>
          <t>cae893de-e792-5121-b6a8-75f1cf517027</t>
        </is>
      </c>
    </row>
    <row r="80">
      <c r="A80" t="inlineStr">
        <is>
          <t>seat</t>
        </is>
      </c>
      <c r="B80" t="inlineStr">
        <is>
          <t>ES</t>
        </is>
      </c>
      <c r="C80" t="inlineStr">
        <is>
          <t>Martorell</t>
        </is>
      </c>
      <c r="D80" t="inlineStr">
        <is>
          <t>vehicle</t>
        </is>
      </c>
      <c r="E80" t="inlineStr">
        <is>
          <t>electric</t>
        </is>
      </c>
      <c r="F80" t="n">
        <v>1</v>
      </c>
      <c r="G80" t="inlineStr">
        <is>
          <t>operational</t>
        </is>
      </c>
      <c r="H80" t="n">
        <v>80000</v>
      </c>
      <c r="I80" t="n">
        <v>80000</v>
      </c>
      <c r="J80" t="n">
        <v>440000000</v>
      </c>
      <c r="K80" t="n">
        <v>440000000</v>
      </c>
      <c r="L80" t="b">
        <v>1</v>
      </c>
      <c r="M80" t="inlineStr">
        <is>
          <t>2018-01</t>
        </is>
      </c>
      <c r="N80" t="inlineStr">
        <is>
          <t>2018-01</t>
        </is>
      </c>
      <c r="O80" t="inlineStr">
        <is>
          <t>2021-01</t>
        </is>
      </c>
      <c r="P80" t="b">
        <v>1</v>
      </c>
      <c r="Q80" t="b">
        <v>1</v>
      </c>
      <c r="R80" t="b">
        <v>0</v>
      </c>
      <c r="S80">
        <f>HYPERLINK("www.placeholder.com", "source")</f>
        <v/>
      </c>
      <c r="T80">
        <f>HYPERLINK("www.placeholder.com", "source")</f>
        <v/>
      </c>
      <c r="U80">
        <f>HYPERLINK("www.placeholder.com", "source")</f>
        <v/>
      </c>
      <c r="V80" t="inlineStr"/>
      <c r="W80" t="inlineStr"/>
      <c r="X80">
        <f>HYPERLINK("www.placeholder.com", "source")</f>
        <v/>
      </c>
      <c r="Y80" t="inlineStr">
        <is>
          <t>fd4bfcba-5859-5681-a582-2f56b17afe5d</t>
        </is>
      </c>
    </row>
    <row r="81">
      <c r="A81" t="inlineStr">
        <is>
          <t>seat</t>
        </is>
      </c>
      <c r="B81" t="inlineStr">
        <is>
          <t>ES</t>
        </is>
      </c>
      <c r="C81" t="inlineStr">
        <is>
          <t>Martorell</t>
        </is>
      </c>
      <c r="D81" t="inlineStr">
        <is>
          <t>vehicle</t>
        </is>
      </c>
      <c r="E81" t="inlineStr">
        <is>
          <t>electric</t>
        </is>
      </c>
      <c r="F81" t="n">
        <v>2</v>
      </c>
      <c r="G81" t="inlineStr">
        <is>
          <t>under construction</t>
        </is>
      </c>
      <c r="H81" t="n">
        <v>120000</v>
      </c>
      <c r="I81" t="n">
        <v>200000</v>
      </c>
      <c r="J81" t="n">
        <v>3000000000</v>
      </c>
      <c r="K81" t="n">
        <v>3440000000</v>
      </c>
      <c r="L81" t="b">
        <v>0</v>
      </c>
      <c r="M81" t="inlineStr">
        <is>
          <t>2023-02</t>
        </is>
      </c>
      <c r="N81" t="inlineStr">
        <is>
          <t>2023-03</t>
        </is>
      </c>
      <c r="O81" t="inlineStr">
        <is>
          <t>2026-03</t>
        </is>
      </c>
      <c r="P81" t="b">
        <v>0</v>
      </c>
      <c r="Q81" t="b">
        <v>0</v>
      </c>
      <c r="R81" t="b">
        <v>1</v>
      </c>
      <c r="S81">
        <f>HYPERLINK("https://www.electrive.com/2025/04/10/vw-to-launch-id-1-production-in-september-2027/", "source")</f>
        <v/>
      </c>
      <c r="T81">
        <f>HYPERLINK("https://www.electrive.com/2025/04/10/vw-to-launch-id-1-production-in-september-2027/", "source")</f>
        <v/>
      </c>
      <c r="U81">
        <f>HYPERLINK("https://www.electrive.com/2023/03/23/vw-wants-to-produce-over-3-million-small-evs-by-2030/", "source")</f>
        <v/>
      </c>
      <c r="V81">
        <f>HYPERLINK("https://www.seat-mediacenter.de/content/dam/seat-media-center/allnews/news/2023/02/2023-02-22/SEAT-SA-kicks-off-electrification-journey-as-it-celebrates-30th-anniversary-of-Martorell-site.pdf", "source")</f>
        <v/>
      </c>
      <c r="W81">
        <f>HYPERLINK("https://www.electrive.com/2023/03/23/vw-wants-to-produce-over-3-million-small-evs-by-2030/", "source")</f>
        <v/>
      </c>
      <c r="X81" t="inlineStr"/>
      <c r="Y81" t="inlineStr">
        <is>
          <t>fd4bfcba-5859-5681-a582-2f56b17afe5d</t>
        </is>
      </c>
    </row>
    <row r="82">
      <c r="A82" t="inlineStr">
        <is>
          <t>skoda</t>
        </is>
      </c>
      <c r="B82" t="inlineStr">
        <is>
          <t>CZ</t>
        </is>
      </c>
      <c r="C82" t="inlineStr">
        <is>
          <t>Mladá Boleslav</t>
        </is>
      </c>
      <c r="D82" t="inlineStr">
        <is>
          <t>vehicle</t>
        </is>
      </c>
      <c r="E82" t="inlineStr">
        <is>
          <t>electric</t>
        </is>
      </c>
      <c r="F82" t="n">
        <v>1</v>
      </c>
      <c r="G82" t="inlineStr">
        <is>
          <t>operational</t>
        </is>
      </c>
      <c r="H82" t="n">
        <v>120000</v>
      </c>
      <c r="I82" t="n">
        <v>120000</v>
      </c>
      <c r="J82" t="n">
        <v>660000000</v>
      </c>
      <c r="K82" t="n">
        <v>660000000</v>
      </c>
      <c r="L82" t="b">
        <v>1</v>
      </c>
      <c r="M82" t="inlineStr">
        <is>
          <t>2017-09</t>
        </is>
      </c>
      <c r="N82" t="inlineStr">
        <is>
          <t>2017-09</t>
        </is>
      </c>
      <c r="O82" t="inlineStr">
        <is>
          <t>2020-09</t>
        </is>
      </c>
      <c r="P82" t="b">
        <v>1</v>
      </c>
      <c r="Q82" t="b">
        <v>1</v>
      </c>
      <c r="R82" t="b">
        <v>0</v>
      </c>
      <c r="S82">
        <f>HYPERLINK("www.placeholder.com", "source")</f>
        <v/>
      </c>
      <c r="T82">
        <f>HYPERLINK("www.placeholder.com", "source")</f>
        <v/>
      </c>
      <c r="U82">
        <f>HYPERLINK("www.placeholder.com", "source")</f>
        <v/>
      </c>
      <c r="V82" t="inlineStr"/>
      <c r="W82" t="inlineStr"/>
      <c r="X82">
        <f>HYPERLINK("www.placeholder.com", "source")</f>
        <v/>
      </c>
      <c r="Y82" t="inlineStr">
        <is>
          <t>f1bee7e3-ba81-5e19-b58b-196acd14eee5</t>
        </is>
      </c>
    </row>
    <row r="83">
      <c r="A83" t="inlineStr">
        <is>
          <t>skoda</t>
        </is>
      </c>
      <c r="B83" t="inlineStr">
        <is>
          <t>CZ</t>
        </is>
      </c>
      <c r="C83" t="inlineStr">
        <is>
          <t>Mladá Boleslav</t>
        </is>
      </c>
      <c r="D83" t="inlineStr">
        <is>
          <t>vehicle</t>
        </is>
      </c>
      <c r="E83" t="inlineStr">
        <is>
          <t>electric</t>
        </is>
      </c>
      <c r="F83" t="n">
        <v>2</v>
      </c>
      <c r="G83" t="inlineStr">
        <is>
          <t>announced</t>
        </is>
      </c>
      <c r="H83" t="n">
        <v>15050</v>
      </c>
      <c r="I83" t="n">
        <v>135050</v>
      </c>
      <c r="J83" t="inlineStr"/>
      <c r="K83" t="inlineStr"/>
      <c r="L83" t="b">
        <v>0</v>
      </c>
      <c r="M83" t="inlineStr">
        <is>
          <t>2022-04</t>
        </is>
      </c>
      <c r="N83" t="inlineStr"/>
      <c r="O83" t="inlineStr"/>
      <c r="P83" t="b">
        <v>0</v>
      </c>
      <c r="Q83" t="b">
        <v>0</v>
      </c>
      <c r="R83" t="b">
        <v>0</v>
      </c>
      <c r="S83">
        <f>HYPERLINK("https://www.electrive.com/2022/04/27/skoda-relaunches-enyaq-production/", "source")</f>
        <v/>
      </c>
      <c r="T83">
        <f>HYPERLINK("https://www.electrive.com/2022/04/27/skoda-relaunches-enyaq-production/", "source")</f>
        <v/>
      </c>
      <c r="U83" t="inlineStr"/>
      <c r="V83">
        <f>HYPERLINK("https://www.electrive.com/2022/04/27/skoda-relaunches-enyaq-production/", "source")</f>
        <v/>
      </c>
      <c r="W83" t="inlineStr"/>
      <c r="X83" t="inlineStr"/>
      <c r="Y83" t="inlineStr">
        <is>
          <t>f1bee7e3-ba81-5e19-b58b-196acd14eee5</t>
        </is>
      </c>
    </row>
    <row r="84">
      <c r="A84" t="inlineStr">
        <is>
          <t>stellantis</t>
        </is>
      </c>
      <c r="B84" t="inlineStr">
        <is>
          <t>DE</t>
        </is>
      </c>
      <c r="C84" t="inlineStr">
        <is>
          <t>Eisenach</t>
        </is>
      </c>
      <c r="D84" t="inlineStr">
        <is>
          <t>vehicle</t>
        </is>
      </c>
      <c r="E84" t="inlineStr">
        <is>
          <t>electric</t>
        </is>
      </c>
      <c r="F84" t="n">
        <v>1</v>
      </c>
      <c r="G84" t="inlineStr">
        <is>
          <t>operational</t>
        </is>
      </c>
      <c r="H84" t="n">
        <v>0</v>
      </c>
      <c r="I84" t="n">
        <v>0</v>
      </c>
      <c r="J84" t="n">
        <v>130000000</v>
      </c>
      <c r="K84" t="n">
        <v>130000000</v>
      </c>
      <c r="L84" t="b">
        <v>0</v>
      </c>
      <c r="M84" t="inlineStr">
        <is>
          <t>2023-03</t>
        </is>
      </c>
      <c r="N84" t="inlineStr">
        <is>
          <t>2023-03</t>
        </is>
      </c>
      <c r="O84" t="inlineStr">
        <is>
          <t>2025-01</t>
        </is>
      </c>
      <c r="P84" t="b">
        <v>0</v>
      </c>
      <c r="Q84" t="b">
        <v>1</v>
      </c>
      <c r="R84" t="b">
        <v>0</v>
      </c>
      <c r="S84">
        <f>HYPERLINK("www.placeholder.com", "source")</f>
        <v/>
      </c>
      <c r="T84">
        <f>HYPERLINK("www.placeholder.com", "source")</f>
        <v/>
      </c>
      <c r="U84">
        <f>HYPERLINK("https://www.just-auto.com/news/stellantis-spending-large-for-eisenach-to-build-new-ev/", "source")</f>
        <v/>
      </c>
      <c r="V84">
        <f>HYPERLINK("https://www.just-auto.com/news/stellantis-spending-large-for-eisenach-to-build-new-ev/", "source")</f>
        <v/>
      </c>
      <c r="W84" t="inlineStr"/>
      <c r="X84">
        <f>HYPERLINK("www.placeholder.com", "source")</f>
        <v/>
      </c>
      <c r="Y84" t="inlineStr">
        <is>
          <t>7fa624ad-b486-5ad7-9e07-336e59b4497c</t>
        </is>
      </c>
    </row>
    <row r="85">
      <c r="A85" t="inlineStr">
        <is>
          <t>stellantis</t>
        </is>
      </c>
      <c r="B85" t="inlineStr">
        <is>
          <t>ES</t>
        </is>
      </c>
      <c r="C85" t="inlineStr">
        <is>
          <t>Vigo</t>
        </is>
      </c>
      <c r="D85" t="inlineStr">
        <is>
          <t>vehicle</t>
        </is>
      </c>
      <c r="E85" t="inlineStr">
        <is>
          <t>electric</t>
        </is>
      </c>
      <c r="F85" t="n">
        <v>1</v>
      </c>
      <c r="G85" t="inlineStr">
        <is>
          <t>operational</t>
        </is>
      </c>
      <c r="H85" t="n">
        <v>80000</v>
      </c>
      <c r="I85" t="n">
        <v>80000</v>
      </c>
      <c r="J85" t="n">
        <v>440000000</v>
      </c>
      <c r="K85" t="n">
        <v>440000000</v>
      </c>
      <c r="L85" t="b">
        <v>1</v>
      </c>
      <c r="M85" t="inlineStr">
        <is>
          <t>2019-01</t>
        </is>
      </c>
      <c r="N85" t="inlineStr">
        <is>
          <t>2019-01</t>
        </is>
      </c>
      <c r="O85" t="inlineStr">
        <is>
          <t>2022-01</t>
        </is>
      </c>
      <c r="P85" t="b">
        <v>1</v>
      </c>
      <c r="Q85" t="b">
        <v>1</v>
      </c>
      <c r="R85" t="b">
        <v>0</v>
      </c>
      <c r="S85">
        <f>HYPERLINK("www.placeholder.com", "source")</f>
        <v/>
      </c>
      <c r="T85">
        <f>HYPERLINK("www.placeholder.com", "source")</f>
        <v/>
      </c>
      <c r="U85">
        <f>HYPERLINK("www.placeholder.com", "source")</f>
        <v/>
      </c>
      <c r="V85" t="inlineStr"/>
      <c r="W85" t="inlineStr"/>
      <c r="X85">
        <f>HYPERLINK("www.placeholder.com", "source")</f>
        <v/>
      </c>
      <c r="Y85" t="inlineStr">
        <is>
          <t>5ffe50f9-d148-5c9a-9d53-5afd17293ea1</t>
        </is>
      </c>
    </row>
    <row r="86">
      <c r="A86" t="inlineStr">
        <is>
          <t>stellantis</t>
        </is>
      </c>
      <c r="B86" t="inlineStr">
        <is>
          <t>ES</t>
        </is>
      </c>
      <c r="C86" t="inlineStr">
        <is>
          <t>Vigo</t>
        </is>
      </c>
      <c r="D86" t="inlineStr">
        <is>
          <t>vehicle</t>
        </is>
      </c>
      <c r="E86" t="inlineStr">
        <is>
          <t>electric</t>
        </is>
      </c>
      <c r="F86" t="n">
        <v>2</v>
      </c>
      <c r="G86" t="inlineStr">
        <is>
          <t>announced</t>
        </is>
      </c>
      <c r="H86" t="inlineStr"/>
      <c r="I86" t="inlineStr"/>
      <c r="J86" t="n">
        <v>500000000</v>
      </c>
      <c r="K86" t="n">
        <v>940000000</v>
      </c>
      <c r="L86" t="b">
        <v>0</v>
      </c>
      <c r="M86" t="inlineStr">
        <is>
          <t>2023-09</t>
        </is>
      </c>
      <c r="N86" t="inlineStr"/>
      <c r="O86" t="inlineStr"/>
      <c r="P86" t="b">
        <v>0</v>
      </c>
      <c r="Q86" t="b">
        <v>0</v>
      </c>
      <c r="R86" t="b">
        <v>0</v>
      </c>
      <c r="S86">
        <f>HYPERLINK("https://mobilityportal.eu/spain-stellantis-invest-1000-million/?utm_source=chatgpt.com", "source")</f>
        <v/>
      </c>
      <c r="T86" t="inlineStr"/>
      <c r="U86">
        <f>HYPERLINK("https://mobilityportal.eu/spain-stellantis-invest-1000-million/?utm_source=chatgpt.com", "source")</f>
        <v/>
      </c>
      <c r="V86">
        <f>HYPERLINK("https://mobilityportal.eu/spain-stellantis-invest-1000-million/?utm_source=chatgpt.com", "source")</f>
        <v/>
      </c>
      <c r="W86" t="inlineStr"/>
      <c r="X86" t="inlineStr"/>
      <c r="Y86" t="inlineStr">
        <is>
          <t>5ffe50f9-d148-5c9a-9d53-5afd17293ea1</t>
        </is>
      </c>
    </row>
    <row r="87">
      <c r="A87" t="inlineStr">
        <is>
          <t>stellantis</t>
        </is>
      </c>
      <c r="B87" t="inlineStr">
        <is>
          <t>ES</t>
        </is>
      </c>
      <c r="C87" t="inlineStr">
        <is>
          <t>Zaragoza Municipality</t>
        </is>
      </c>
      <c r="D87" t="inlineStr">
        <is>
          <t>vehicle</t>
        </is>
      </c>
      <c r="E87" t="inlineStr">
        <is>
          <t>electric</t>
        </is>
      </c>
      <c r="F87" t="n">
        <v>1</v>
      </c>
      <c r="G87" t="inlineStr">
        <is>
          <t>announced</t>
        </is>
      </c>
      <c r="H87" t="inlineStr"/>
      <c r="I87" t="inlineStr"/>
      <c r="J87" t="n">
        <v>191772941</v>
      </c>
      <c r="K87" t="n">
        <v>191772941</v>
      </c>
      <c r="L87" t="b">
        <v>0</v>
      </c>
      <c r="M87" t="inlineStr">
        <is>
          <t>2023-09</t>
        </is>
      </c>
      <c r="N87" t="inlineStr"/>
      <c r="O87" t="inlineStr"/>
      <c r="P87" t="b">
        <v>0</v>
      </c>
      <c r="Q87" t="b">
        <v>0</v>
      </c>
      <c r="R87" t="b">
        <v>0</v>
      </c>
      <c r="S87">
        <f>HYPERLINK("https://www.reuters.com/business/autos-transportation/stellantis-leapmotor-favour-spain-production-b10-ev-source-says-2025-03-21/?utm_source=chatgpt.com", "source")</f>
        <v/>
      </c>
      <c r="T87" t="inlineStr"/>
      <c r="U87">
        <f>HYPERLINK("https://www.reuters.com/business/autos-transportation/stellantis-leapmotor-favour-spain-production-b10-ev-source-says-2025-03-21/?utm_source=chatgpt.com", "source")</f>
        <v/>
      </c>
      <c r="V87">
        <f>HYPERLINK("https://mobilityportal.eu/spain-stellantis-invest-1000-million/?utm_source=chatgpt.com", "source")</f>
        <v/>
      </c>
      <c r="W87" t="inlineStr"/>
      <c r="X87" t="inlineStr"/>
      <c r="Y87" t="inlineStr">
        <is>
          <t>1ccb3203-3284-53c7-bdfc-a63e70919c4f</t>
        </is>
      </c>
    </row>
    <row r="88">
      <c r="A88" t="inlineStr">
        <is>
          <t>stellantis</t>
        </is>
      </c>
      <c r="B88" t="inlineStr">
        <is>
          <t>FR</t>
        </is>
      </c>
      <c r="C88" t="inlineStr">
        <is>
          <t>Hordain</t>
        </is>
      </c>
      <c r="D88" t="inlineStr">
        <is>
          <t>vehicle</t>
        </is>
      </c>
      <c r="E88" t="inlineStr">
        <is>
          <t>electric</t>
        </is>
      </c>
      <c r="F88" t="n">
        <v>1</v>
      </c>
      <c r="G88" t="inlineStr">
        <is>
          <t>operational</t>
        </is>
      </c>
      <c r="H88" t="n">
        <v>40000</v>
      </c>
      <c r="I88" t="n">
        <v>40000</v>
      </c>
      <c r="J88" t="n">
        <v>80000000</v>
      </c>
      <c r="K88" t="n">
        <v>80000000</v>
      </c>
      <c r="L88" t="b">
        <v>1</v>
      </c>
      <c r="M88" t="inlineStr">
        <is>
          <t>2018-01</t>
        </is>
      </c>
      <c r="N88" t="inlineStr">
        <is>
          <t>2018-01</t>
        </is>
      </c>
      <c r="O88" t="inlineStr">
        <is>
          <t>2021-01</t>
        </is>
      </c>
      <c r="P88" t="b">
        <v>1</v>
      </c>
      <c r="Q88" t="b">
        <v>1</v>
      </c>
      <c r="R88" t="b">
        <v>0</v>
      </c>
      <c r="S88">
        <f>HYPERLINK("www.placeholder.com", "source")</f>
        <v/>
      </c>
      <c r="T88">
        <f>HYPERLINK("www.placeholder.com", "source")</f>
        <v/>
      </c>
      <c r="U88">
        <f>HYPERLINK("www.placeholder.com", "source")</f>
        <v/>
      </c>
      <c r="V88" t="inlineStr"/>
      <c r="W88" t="inlineStr"/>
      <c r="X88">
        <f>HYPERLINK("www.placeholder.com", "source")</f>
        <v/>
      </c>
      <c r="Y88" t="inlineStr">
        <is>
          <t>50b21bff-1027-5caa-8620-07422f580482</t>
        </is>
      </c>
    </row>
    <row r="89">
      <c r="A89" t="inlineStr">
        <is>
          <t>stellantis</t>
        </is>
      </c>
      <c r="B89" t="inlineStr">
        <is>
          <t>FR</t>
        </is>
      </c>
      <c r="C89" t="inlineStr">
        <is>
          <t>Mulhouse</t>
        </is>
      </c>
      <c r="D89" t="inlineStr">
        <is>
          <t>vehicle</t>
        </is>
      </c>
      <c r="E89" t="inlineStr">
        <is>
          <t>electric, unclear</t>
        </is>
      </c>
      <c r="F89" t="n">
        <v>1</v>
      </c>
      <c r="G89" t="inlineStr">
        <is>
          <t>operational</t>
        </is>
      </c>
      <c r="H89" t="n">
        <v>60000</v>
      </c>
      <c r="I89" t="n">
        <v>60000</v>
      </c>
      <c r="J89" t="n">
        <v>120000000</v>
      </c>
      <c r="K89" t="n">
        <v>120000000</v>
      </c>
      <c r="L89" t="b">
        <v>1</v>
      </c>
      <c r="M89" t="inlineStr">
        <is>
          <t>2019-12</t>
        </is>
      </c>
      <c r="N89" t="inlineStr">
        <is>
          <t>2019-12</t>
        </is>
      </c>
      <c r="O89" t="inlineStr">
        <is>
          <t>2022-12</t>
        </is>
      </c>
      <c r="P89" t="b">
        <v>1</v>
      </c>
      <c r="Q89" t="b">
        <v>1</v>
      </c>
      <c r="R89" t="b">
        <v>0</v>
      </c>
      <c r="S89">
        <f>HYPERLINK("www.placeholder.com", "source")</f>
        <v/>
      </c>
      <c r="T89">
        <f>HYPERLINK("www.placeholder.com", "source")</f>
        <v/>
      </c>
      <c r="U89">
        <f>HYPERLINK("www.placeholder.com", "source")</f>
        <v/>
      </c>
      <c r="V89" t="inlineStr"/>
      <c r="W89" t="inlineStr"/>
      <c r="X89">
        <f>HYPERLINK("www.placeholder.com", "source")</f>
        <v/>
      </c>
      <c r="Y89" t="inlineStr">
        <is>
          <t>d396015a-27ec-52cc-a884-38634b3440fc</t>
        </is>
      </c>
    </row>
    <row r="90">
      <c r="A90" t="inlineStr">
        <is>
          <t>stellantis</t>
        </is>
      </c>
      <c r="B90" t="inlineStr">
        <is>
          <t>FR</t>
        </is>
      </c>
      <c r="C90" t="inlineStr">
        <is>
          <t>Poissy</t>
        </is>
      </c>
      <c r="D90" t="inlineStr">
        <is>
          <t>vehicle</t>
        </is>
      </c>
      <c r="E90" t="inlineStr">
        <is>
          <t>electric</t>
        </is>
      </c>
      <c r="F90" t="n">
        <v>1</v>
      </c>
      <c r="G90" t="inlineStr">
        <is>
          <t>operational</t>
        </is>
      </c>
      <c r="H90" t="n">
        <v>40000</v>
      </c>
      <c r="I90" t="n">
        <v>40000</v>
      </c>
      <c r="J90" t="n">
        <v>150000000</v>
      </c>
      <c r="K90" t="n">
        <v>150000000</v>
      </c>
      <c r="L90" t="b">
        <v>0</v>
      </c>
      <c r="M90" t="inlineStr">
        <is>
          <t>2018-08</t>
        </is>
      </c>
      <c r="N90" t="inlineStr">
        <is>
          <t>2018-12</t>
        </is>
      </c>
      <c r="O90" t="inlineStr">
        <is>
          <t>2021-12</t>
        </is>
      </c>
      <c r="P90" t="b">
        <v>0</v>
      </c>
      <c r="Q90" t="b">
        <v>1</v>
      </c>
      <c r="R90" t="b">
        <v>0</v>
      </c>
      <c r="S90">
        <f>HYPERLINK("www.placeholder.com", "source")</f>
        <v/>
      </c>
      <c r="T90">
        <f>HYPERLINK("www.placeholder.com", "source")</f>
        <v/>
      </c>
      <c r="U90">
        <f>HYPERLINK("https://www.media.stellantis.com/em-en/psa-archive/press/groupe-psa-looks-into-manufacturing-an-additional-model-at-its-poissy-plant?utm_source=chatgpt.com", "source")</f>
        <v/>
      </c>
      <c r="V90">
        <f>HYPERLINK("https://www.media.stellantis.com/em-en/psa-archive/press/groupe-psa-looks-into-manufacturing-an-additional-model-at-its-poissy-plant?utm_source=chatgpt.com", "source")</f>
        <v/>
      </c>
      <c r="W90" t="inlineStr"/>
      <c r="X90">
        <f>HYPERLINK("www.placeholder.com", "source")</f>
        <v/>
      </c>
      <c r="Y90" t="inlineStr">
        <is>
          <t>1a826860-cc3f-5c7d-9e41-ab9563a927fc</t>
        </is>
      </c>
    </row>
    <row r="91">
      <c r="A91" t="inlineStr">
        <is>
          <t>stellantis</t>
        </is>
      </c>
      <c r="B91" t="inlineStr">
        <is>
          <t>FR</t>
        </is>
      </c>
      <c r="C91" t="inlineStr">
        <is>
          <t>Rennes</t>
        </is>
      </c>
      <c r="D91" t="inlineStr">
        <is>
          <t>vehicle</t>
        </is>
      </c>
      <c r="E91" t="inlineStr">
        <is>
          <t>electric</t>
        </is>
      </c>
      <c r="F91" t="n">
        <v>1</v>
      </c>
      <c r="G91" t="inlineStr">
        <is>
          <t>operational</t>
        </is>
      </c>
      <c r="H91" t="n">
        <v>20000</v>
      </c>
      <c r="I91" t="n">
        <v>20000</v>
      </c>
      <c r="J91" t="n">
        <v>40000000</v>
      </c>
      <c r="K91" t="n">
        <v>40000000</v>
      </c>
      <c r="L91" t="b">
        <v>1</v>
      </c>
      <c r="M91" t="inlineStr">
        <is>
          <t>2017-12</t>
        </is>
      </c>
      <c r="N91" t="inlineStr">
        <is>
          <t>2017-12</t>
        </is>
      </c>
      <c r="O91" t="inlineStr">
        <is>
          <t>2020-12</t>
        </is>
      </c>
      <c r="P91" t="b">
        <v>1</v>
      </c>
      <c r="Q91" t="b">
        <v>1</v>
      </c>
      <c r="R91" t="b">
        <v>0</v>
      </c>
      <c r="S91">
        <f>HYPERLINK("www.placeholder.com", "source")</f>
        <v/>
      </c>
      <c r="T91">
        <f>HYPERLINK("www.placeholder.com", "source")</f>
        <v/>
      </c>
      <c r="U91">
        <f>HYPERLINK("www.placeholder.com", "source")</f>
        <v/>
      </c>
      <c r="V91" t="inlineStr"/>
      <c r="W91" t="inlineStr"/>
      <c r="X91">
        <f>HYPERLINK("www.placeholder.com", "source")</f>
        <v/>
      </c>
      <c r="Y91" t="inlineStr">
        <is>
          <t>c6839a08-3a55-56cf-8d99-bae8dc08e9fc</t>
        </is>
      </c>
    </row>
    <row r="92">
      <c r="A92" t="inlineStr">
        <is>
          <t>stellantis</t>
        </is>
      </c>
      <c r="B92" t="inlineStr">
        <is>
          <t>FR</t>
        </is>
      </c>
      <c r="C92" t="inlineStr">
        <is>
          <t>Rennes</t>
        </is>
      </c>
      <c r="D92" t="inlineStr">
        <is>
          <t>vehicle</t>
        </is>
      </c>
      <c r="E92" t="inlineStr">
        <is>
          <t>electric</t>
        </is>
      </c>
      <c r="F92" t="n">
        <v>2</v>
      </c>
      <c r="G92" t="inlineStr">
        <is>
          <t>announced</t>
        </is>
      </c>
      <c r="H92" t="inlineStr"/>
      <c r="I92" t="inlineStr"/>
      <c r="J92" t="n">
        <v>120000000</v>
      </c>
      <c r="K92" t="n">
        <v>160000000</v>
      </c>
      <c r="L92" t="b">
        <v>0</v>
      </c>
      <c r="M92" t="inlineStr">
        <is>
          <t>2023-06</t>
        </is>
      </c>
      <c r="N92" t="inlineStr"/>
      <c r="O92" t="inlineStr"/>
      <c r="P92" t="b">
        <v>0</v>
      </c>
      <c r="Q92" t="b">
        <v>0</v>
      </c>
      <c r="R92" t="b">
        <v>0</v>
      </c>
      <c r="S92">
        <f>HYPERLINK("https://www.electrive.com/2023/06/06/stellantis-gears-up-rennes-factory-for-suv-production/?utm_source=chatgpt.com", "source")</f>
        <v/>
      </c>
      <c r="T92" t="inlineStr"/>
      <c r="U92">
        <f>HYPERLINK("https://www.electrive.com/2023/06/06/stellantis-gears-up-rennes-factory-for-suv-production/?utm_source=chatgpt.com", "source")</f>
        <v/>
      </c>
      <c r="V92">
        <f>HYPERLINK("https://www.electrive.com/2023/06/06/stellantis-gears-up-rennes-factory-for-suv-production/?utm_source=chatgpt.com", "source")</f>
        <v/>
      </c>
      <c r="W92" t="inlineStr"/>
      <c r="X92" t="inlineStr"/>
      <c r="Y92" t="inlineStr">
        <is>
          <t>c6839a08-3a55-56cf-8d99-bae8dc08e9fc</t>
        </is>
      </c>
    </row>
    <row r="93">
      <c r="A93" t="inlineStr">
        <is>
          <t>stellantis</t>
        </is>
      </c>
      <c r="B93" t="inlineStr">
        <is>
          <t>FR</t>
        </is>
      </c>
      <c r="C93" t="inlineStr">
        <is>
          <t>Sochaux</t>
        </is>
      </c>
      <c r="D93" t="inlineStr">
        <is>
          <t>vehicle</t>
        </is>
      </c>
      <c r="E93" t="inlineStr">
        <is>
          <t>electric</t>
        </is>
      </c>
      <c r="F93" t="n">
        <v>1</v>
      </c>
      <c r="G93" t="inlineStr">
        <is>
          <t>operational</t>
        </is>
      </c>
      <c r="H93" t="n">
        <v>40000</v>
      </c>
      <c r="I93" t="n">
        <v>40000</v>
      </c>
      <c r="J93" t="n">
        <v>80000000</v>
      </c>
      <c r="K93" t="n">
        <v>80000000</v>
      </c>
      <c r="L93" t="b">
        <v>1</v>
      </c>
      <c r="M93" t="inlineStr">
        <is>
          <t>2021-01</t>
        </is>
      </c>
      <c r="N93" t="inlineStr">
        <is>
          <t>2021-01</t>
        </is>
      </c>
      <c r="O93" t="inlineStr">
        <is>
          <t>2024-01</t>
        </is>
      </c>
      <c r="P93" t="b">
        <v>1</v>
      </c>
      <c r="Q93" t="b">
        <v>1</v>
      </c>
      <c r="R93" t="b">
        <v>0</v>
      </c>
      <c r="S93">
        <f>HYPERLINK("www.placeholder.com", "source")</f>
        <v/>
      </c>
      <c r="T93">
        <f>HYPERLINK("www.placeholder.com", "source")</f>
        <v/>
      </c>
      <c r="U93">
        <f>HYPERLINK("www.placeholder.com", "source")</f>
        <v/>
      </c>
      <c r="V93" t="inlineStr"/>
      <c r="W93" t="inlineStr"/>
      <c r="X93">
        <f>HYPERLINK("www.placeholder.com", "source")</f>
        <v/>
      </c>
      <c r="Y93" t="inlineStr">
        <is>
          <t>e140583d-c932-5b1a-87c6-1c48045a37be</t>
        </is>
      </c>
    </row>
    <row r="94">
      <c r="A94" t="inlineStr">
        <is>
          <t>stellantis</t>
        </is>
      </c>
      <c r="B94" t="inlineStr">
        <is>
          <t>GB</t>
        </is>
      </c>
      <c r="C94" t="inlineStr">
        <is>
          <t>Cheshire</t>
        </is>
      </c>
      <c r="D94" t="inlineStr">
        <is>
          <t>vehicle</t>
        </is>
      </c>
      <c r="E94" t="inlineStr">
        <is>
          <t>electric, fossil</t>
        </is>
      </c>
      <c r="F94" t="n">
        <v>1</v>
      </c>
      <c r="G94" t="inlineStr">
        <is>
          <t>operational</t>
        </is>
      </c>
      <c r="H94" t="n">
        <v>20000</v>
      </c>
      <c r="I94" t="n">
        <v>20000</v>
      </c>
      <c r="J94" t="n">
        <v>119050454</v>
      </c>
      <c r="K94" t="n">
        <v>119050454</v>
      </c>
      <c r="L94" t="b">
        <v>0</v>
      </c>
      <c r="M94" t="inlineStr">
        <is>
          <t>2021-07</t>
        </is>
      </c>
      <c r="N94" t="inlineStr">
        <is>
          <t>2021-07</t>
        </is>
      </c>
      <c r="O94" t="inlineStr">
        <is>
          <t>2022-06</t>
        </is>
      </c>
      <c r="P94" t="b">
        <v>0</v>
      </c>
      <c r="Q94" t="b">
        <v>1</v>
      </c>
      <c r="R94" t="b">
        <v>0</v>
      </c>
      <c r="S94">
        <f>HYPERLINK("www.placeholder.com", "source")</f>
        <v/>
      </c>
      <c r="T94">
        <f>HYPERLINK("www.placeholder.com", "source")</f>
        <v/>
      </c>
      <c r="U94">
        <f>HYPERLINK("https://www.just-auto.com/news/stellantis-plans-to-close-luton-plant-in-uk/", "source")</f>
        <v/>
      </c>
      <c r="V94">
        <f>HYPERLINK("https://www.electrive.com/2021/07/06/stellantis-to-build-electric-delivery-vans-in-the-uk/", "source")</f>
        <v/>
      </c>
      <c r="W94" t="inlineStr"/>
      <c r="X94">
        <f>HYPERLINK("www.placeholder.com", "source")</f>
        <v/>
      </c>
      <c r="Y94" t="inlineStr">
        <is>
          <t>a6e48178-9999-5a41-b898-608ac2d2e0d8</t>
        </is>
      </c>
    </row>
    <row r="95">
      <c r="A95" t="inlineStr">
        <is>
          <t>stellantis</t>
        </is>
      </c>
      <c r="B95" t="inlineStr">
        <is>
          <t>PL</t>
        </is>
      </c>
      <c r="C95" t="inlineStr">
        <is>
          <t>Tychy</t>
        </is>
      </c>
      <c r="D95" t="inlineStr">
        <is>
          <t>vehicle</t>
        </is>
      </c>
      <c r="E95" t="inlineStr">
        <is>
          <t>electric</t>
        </is>
      </c>
      <c r="F95" t="n">
        <v>1</v>
      </c>
      <c r="G95" t="inlineStr">
        <is>
          <t>operational</t>
        </is>
      </c>
      <c r="H95" t="n">
        <v>40000</v>
      </c>
      <c r="I95" t="n">
        <v>40000</v>
      </c>
      <c r="J95" t="n">
        <v>168571939</v>
      </c>
      <c r="K95" t="n">
        <v>168571939</v>
      </c>
      <c r="L95" t="b">
        <v>0</v>
      </c>
      <c r="M95" t="inlineStr">
        <is>
          <t>2020-12</t>
        </is>
      </c>
      <c r="N95" t="inlineStr">
        <is>
          <t>2020-12</t>
        </is>
      </c>
      <c r="O95" t="inlineStr">
        <is>
          <t>2023-01</t>
        </is>
      </c>
      <c r="P95" t="b">
        <v>0</v>
      </c>
      <c r="Q95" t="b">
        <v>0</v>
      </c>
      <c r="R95" t="b">
        <v>0</v>
      </c>
      <c r="S95">
        <f>HYPERLINK("www.placeholder.com", "source")</f>
        <v/>
      </c>
      <c r="T95">
        <f>HYPERLINK("www.placeholder.com", "source")</f>
        <v/>
      </c>
      <c r="U95">
        <f>HYPERLINK("https://www.reuters.com/business/retail-consumer/official-fiat-chrysler-invest-755-mln-zlotys-poland-says-deputy-pm-2020-12-29/?utm_source=chatgpt.com", "source")</f>
        <v/>
      </c>
      <c r="V95">
        <f>HYPERLINK("https://www.reuters.com/business/retail-consumer/official-fiat-chrysler-invest-755-mln-zlotys-poland-says-deputy-pm-2020-12-29/?utm_source=chatgpt.com", "source")</f>
        <v/>
      </c>
      <c r="W95">
        <f>HYPERLINK("https://www.reuters.com/business/retail-consumer/official-fiat-chrysler-invest-755-mln-zlotys-poland-says-deputy-pm-2020-12-29/?utm_source=chatgpt.com", "source")</f>
        <v/>
      </c>
      <c r="X95">
        <f>HYPERLINK("www.placeholder.com", "source")</f>
        <v/>
      </c>
      <c r="Y95" t="inlineStr">
        <is>
          <t>6d7b9e8a-1e97-5e07-8020-e277406f26cc</t>
        </is>
      </c>
    </row>
    <row r="96">
      <c r="A96" t="inlineStr">
        <is>
          <t>stellantis</t>
        </is>
      </c>
      <c r="B96" t="inlineStr">
        <is>
          <t>PT</t>
        </is>
      </c>
      <c r="C96" t="inlineStr">
        <is>
          <t>Viseu</t>
        </is>
      </c>
      <c r="D96" t="inlineStr">
        <is>
          <t>vehicle</t>
        </is>
      </c>
      <c r="E96" t="inlineStr">
        <is>
          <t>electric</t>
        </is>
      </c>
      <c r="F96" t="n">
        <v>1</v>
      </c>
      <c r="G96" t="inlineStr">
        <is>
          <t>under construction</t>
        </is>
      </c>
      <c r="H96" t="n">
        <v>50000</v>
      </c>
      <c r="I96" t="n">
        <v>50000</v>
      </c>
      <c r="J96" t="n">
        <v>119000000</v>
      </c>
      <c r="K96" t="n">
        <v>119000000</v>
      </c>
      <c r="L96" t="b">
        <v>0</v>
      </c>
      <c r="M96" t="inlineStr">
        <is>
          <t>2023-04</t>
        </is>
      </c>
      <c r="N96" t="inlineStr">
        <is>
          <t>2023-04</t>
        </is>
      </c>
      <c r="O96" t="inlineStr">
        <is>
          <t>2026-04</t>
        </is>
      </c>
      <c r="P96" t="b">
        <v>0</v>
      </c>
      <c r="Q96" t="b">
        <v>0</v>
      </c>
      <c r="R96" t="b">
        <v>1</v>
      </c>
      <c r="S96">
        <f>HYPERLINK("https://www.electrive.com/2023/04/03/stellantis-will-build-evs-in-portugal/", "source")</f>
        <v/>
      </c>
      <c r="T96">
        <f>HYPERLINK("https://www.portugalbusinessesnews.com/post/stellantis-will-produce-electric-vehicles-in-portugal?utm_source=chatgpt.com", "source")</f>
        <v/>
      </c>
      <c r="U96">
        <f>HYPERLINK("https://www.electrive.com/2023/04/03/stellantis-will-build-evs-in-portugal/", "source")</f>
        <v/>
      </c>
      <c r="V96">
        <f>HYPERLINK("https://www.electrive.com/2023/04/03/stellantis-will-build-evs-in-portugal/", "source")</f>
        <v/>
      </c>
      <c r="W96">
        <f>HYPERLINK("https://www.electrive.com/2023/04/03/stellantis-will-build-evs-in-portugal/", "source")</f>
        <v/>
      </c>
      <c r="X96" t="inlineStr"/>
      <c r="Y96" t="inlineStr">
        <is>
          <t>4bba3a2b-6090-53de-bf1d-5887de956a79</t>
        </is>
      </c>
    </row>
    <row r="97">
      <c r="A97" t="inlineStr">
        <is>
          <t>stellantis</t>
        </is>
      </c>
      <c r="B97" t="inlineStr">
        <is>
          <t>SK</t>
        </is>
      </c>
      <c r="C97" t="inlineStr">
        <is>
          <t>Trnava Region</t>
        </is>
      </c>
      <c r="D97" t="inlineStr">
        <is>
          <t>vehicle</t>
        </is>
      </c>
      <c r="E97" t="inlineStr">
        <is>
          <t>electric</t>
        </is>
      </c>
      <c r="F97" t="n">
        <v>1</v>
      </c>
      <c r="G97" t="inlineStr">
        <is>
          <t>operational</t>
        </is>
      </c>
      <c r="H97" t="n">
        <v>80000</v>
      </c>
      <c r="I97" t="n">
        <v>80000</v>
      </c>
      <c r="J97" t="n">
        <v>440000000</v>
      </c>
      <c r="K97" t="n">
        <v>440000000</v>
      </c>
      <c r="L97" t="b">
        <v>1</v>
      </c>
      <c r="M97" t="inlineStr">
        <is>
          <t>2016-04</t>
        </is>
      </c>
      <c r="N97" t="inlineStr">
        <is>
          <t>2016-04</t>
        </is>
      </c>
      <c r="O97" t="inlineStr">
        <is>
          <t>2019-04</t>
        </is>
      </c>
      <c r="P97" t="b">
        <v>1</v>
      </c>
      <c r="Q97" t="b">
        <v>1</v>
      </c>
      <c r="R97" t="b">
        <v>0</v>
      </c>
      <c r="S97">
        <f>HYPERLINK("www.placeholder.com", "source")</f>
        <v/>
      </c>
      <c r="T97">
        <f>HYPERLINK("www.placeholder.com", "source")</f>
        <v/>
      </c>
      <c r="U97">
        <f>HYPERLINK("www.placeholder.com", "source")</f>
        <v/>
      </c>
      <c r="V97" t="inlineStr"/>
      <c r="W97" t="inlineStr"/>
      <c r="X97">
        <f>HYPERLINK("www.placeholder.com", "source")</f>
        <v/>
      </c>
      <c r="Y97" t="inlineStr">
        <is>
          <t>185bfe94-4ed0-581e-add0-892e04a5c549</t>
        </is>
      </c>
    </row>
    <row r="98">
      <c r="A98" t="inlineStr">
        <is>
          <t>tata jlr</t>
        </is>
      </c>
      <c r="B98" t="inlineStr">
        <is>
          <t>GB</t>
        </is>
      </c>
      <c r="C98" t="inlineStr">
        <is>
          <t>Knowsley</t>
        </is>
      </c>
      <c r="D98" t="inlineStr">
        <is>
          <t>vehicle</t>
        </is>
      </c>
      <c r="E98" t="inlineStr">
        <is>
          <t>electric</t>
        </is>
      </c>
      <c r="F98" t="n">
        <v>1</v>
      </c>
      <c r="G98" t="inlineStr">
        <is>
          <t>operational</t>
        </is>
      </c>
      <c r="H98" t="n">
        <v>20000</v>
      </c>
      <c r="I98" t="n">
        <v>20000</v>
      </c>
      <c r="J98" t="n">
        <v>110000000</v>
      </c>
      <c r="K98" t="n">
        <v>110000000</v>
      </c>
      <c r="L98" t="b">
        <v>1</v>
      </c>
      <c r="M98" t="inlineStr">
        <is>
          <t>2015-01</t>
        </is>
      </c>
      <c r="N98" t="inlineStr">
        <is>
          <t>2015-01</t>
        </is>
      </c>
      <c r="O98" t="inlineStr">
        <is>
          <t>2018-01</t>
        </is>
      </c>
      <c r="P98" t="b">
        <v>1</v>
      </c>
      <c r="Q98" t="b">
        <v>1</v>
      </c>
      <c r="R98" t="b">
        <v>0</v>
      </c>
      <c r="S98">
        <f>HYPERLINK("www.placeholder.com", "source")</f>
        <v/>
      </c>
      <c r="T98">
        <f>HYPERLINK("www.placeholder.com", "source")</f>
        <v/>
      </c>
      <c r="U98">
        <f>HYPERLINK("www.placeholder.com", "source")</f>
        <v/>
      </c>
      <c r="V98" t="inlineStr"/>
      <c r="W98" t="inlineStr"/>
      <c r="X98">
        <f>HYPERLINK("www.placeholder.com", "source")</f>
        <v/>
      </c>
      <c r="Y98" t="inlineStr">
        <is>
          <t>29be1890-3777-517a-a337-0b7c8b408704</t>
        </is>
      </c>
    </row>
    <row r="99">
      <c r="A99" t="inlineStr">
        <is>
          <t>tesla</t>
        </is>
      </c>
      <c r="B99" t="inlineStr">
        <is>
          <t>DE</t>
        </is>
      </c>
      <c r="C99" t="inlineStr">
        <is>
          <t>Grünheide (Mark)</t>
        </is>
      </c>
      <c r="D99" t="inlineStr">
        <is>
          <t>vehicle</t>
        </is>
      </c>
      <c r="E99" t="inlineStr">
        <is>
          <t>electric</t>
        </is>
      </c>
      <c r="F99" t="n">
        <v>1</v>
      </c>
      <c r="G99" t="inlineStr">
        <is>
          <t>operational</t>
        </is>
      </c>
      <c r="H99" t="n">
        <v>375000</v>
      </c>
      <c r="I99" t="n">
        <v>375000</v>
      </c>
      <c r="J99" t="n">
        <v>5800000000</v>
      </c>
      <c r="K99" t="n">
        <v>5800000000</v>
      </c>
      <c r="L99" t="b">
        <v>0</v>
      </c>
      <c r="M99" t="inlineStr">
        <is>
          <t>2019-12</t>
        </is>
      </c>
      <c r="N99" t="inlineStr">
        <is>
          <t>2020-01</t>
        </is>
      </c>
      <c r="O99" t="inlineStr">
        <is>
          <t>2022-03</t>
        </is>
      </c>
      <c r="P99" t="b">
        <v>0</v>
      </c>
      <c r="Q99" t="b">
        <v>0</v>
      </c>
      <c r="R99" t="b">
        <v>0</v>
      </c>
      <c r="S99">
        <f>HYPERLINK("https://www.electrive.com/2024/01/25/2023-balance-shows-tesla-accepting-setbacks-for-more-growth/", "source")</f>
        <v/>
      </c>
      <c r="T99">
        <f>HYPERLINK("https://www.electrive.com/2024/01/25/2023-balance-shows-tesla-accepting-setbacks-for-more-growth/", "source")</f>
        <v/>
      </c>
      <c r="U99">
        <f>HYPERLINK("https://www.electrive.com/2021/03/17/brandenburg-water-supplies-threatened-by-tesla-gigafactory-expansion/", "source")</f>
        <v/>
      </c>
      <c r="V99">
        <f>HYPERLINK("https://www.electrive.com/2019/12/10/tesla-founds-subsidiary-for-gigafactory-4/", "source")</f>
        <v/>
      </c>
      <c r="W99">
        <f>HYPERLINK("https://www.electrive.com/2020/01/14/tesla-distances-from-german-battery-production/", "source")</f>
        <v/>
      </c>
      <c r="X99">
        <f>HYPERLINK("https://www.electrive.com/2022/03/22/tesla-starts-delivering-model-ys-from-grunheide/", "source")</f>
        <v/>
      </c>
      <c r="Y99" t="inlineStr">
        <is>
          <t>aa7e8a02-3dc6-59cf-bae6-5488cdc58c62</t>
        </is>
      </c>
    </row>
    <row r="100">
      <c r="A100" t="inlineStr">
        <is>
          <t>tesla</t>
        </is>
      </c>
      <c r="B100" t="inlineStr">
        <is>
          <t>DE</t>
        </is>
      </c>
      <c r="C100" t="inlineStr">
        <is>
          <t>Grünheide (Mark)</t>
        </is>
      </c>
      <c r="D100" t="inlineStr">
        <is>
          <t>vehicle</t>
        </is>
      </c>
      <c r="E100" t="inlineStr">
        <is>
          <t>electric</t>
        </is>
      </c>
      <c r="F100" t="n">
        <v>2</v>
      </c>
      <c r="G100" t="inlineStr">
        <is>
          <t>announced</t>
        </is>
      </c>
      <c r="H100" t="n">
        <v>625000</v>
      </c>
      <c r="I100" t="n">
        <v>1000000</v>
      </c>
      <c r="J100" t="n">
        <v>1000000000</v>
      </c>
      <c r="K100" t="n">
        <v>6800000000</v>
      </c>
      <c r="L100" t="b">
        <v>0</v>
      </c>
      <c r="M100" t="inlineStr">
        <is>
          <t>2019-12</t>
        </is>
      </c>
      <c r="N100" t="inlineStr"/>
      <c r="O100" t="inlineStr"/>
      <c r="P100" t="b">
        <v>0</v>
      </c>
      <c r="Q100" t="b">
        <v>0</v>
      </c>
      <c r="R100" t="b">
        <v>0</v>
      </c>
      <c r="S100">
        <f>HYPERLINK("https://www.just-auto.com/news/tesla-german-plant-expansion-approval/", "source")</f>
        <v/>
      </c>
      <c r="T100">
        <f>HYPERLINK("https://www.just-auto.com/news/tesla-german-plant-expansion-approval/", "source")</f>
        <v/>
      </c>
      <c r="U100">
        <f>HYPERLINK("https://www.electrive.com/2024/08/05/tesla-wants-to-expand-grunheide-under-certain-conditions/", "source")</f>
        <v/>
      </c>
      <c r="V100">
        <f>HYPERLINK("https://www.electrive.com/2019/12/10/tesla-founds-subsidiary-for-gigafactory-4/", "source")</f>
        <v/>
      </c>
      <c r="W100" t="inlineStr"/>
      <c r="X100" t="inlineStr"/>
      <c r="Y100" t="inlineStr">
        <is>
          <t>aa7e8a02-3dc6-59cf-bae6-5488cdc58c62</t>
        </is>
      </c>
    </row>
    <row r="101">
      <c r="A101" t="inlineStr">
        <is>
          <t>tmmcz</t>
        </is>
      </c>
      <c r="B101" t="inlineStr">
        <is>
          <t>CZ</t>
        </is>
      </c>
      <c r="C101" t="inlineStr">
        <is>
          <t>Kolín</t>
        </is>
      </c>
      <c r="D101" t="inlineStr">
        <is>
          <t>vehicle</t>
        </is>
      </c>
      <c r="E101" t="inlineStr">
        <is>
          <t>electric</t>
        </is>
      </c>
      <c r="F101" t="n">
        <v>1</v>
      </c>
      <c r="G101" t="inlineStr">
        <is>
          <t>announced</t>
        </is>
      </c>
      <c r="H101" t="n">
        <v>100000</v>
      </c>
      <c r="I101" t="n">
        <v>100000</v>
      </c>
      <c r="J101" t="n">
        <v>550000000</v>
      </c>
      <c r="K101" t="n">
        <v>550000000</v>
      </c>
      <c r="L101" t="b">
        <v>1</v>
      </c>
      <c r="M101" t="inlineStr">
        <is>
          <t>2025-07</t>
        </is>
      </c>
      <c r="N101" t="inlineStr"/>
      <c r="O101" t="inlineStr"/>
      <c r="P101" t="b">
        <v>0</v>
      </c>
      <c r="Q101" t="b">
        <v>0</v>
      </c>
      <c r="R101" t="b">
        <v>0</v>
      </c>
      <c r="S101">
        <f>HYPERLINK("https://www.electrive.com/2025/07/30/toyota-to-produce-evs-in-europe-from-2028/", "source")</f>
        <v/>
      </c>
      <c r="T101">
        <f>HYPERLINK("https://www.electrive.com/2025/07/30/toyota-to-produce-evs-in-europe-from-2028/", "source")</f>
        <v/>
      </c>
      <c r="U101">
        <f>HYPERLINK("https://www.electrive.com/2025/07/30/toyota-to-produce-evs-in-europe-from-2028/", "source")</f>
        <v/>
      </c>
      <c r="V101">
        <f>HYPERLINK("https://www.electrive.com/2025/07/30/toyota-to-produce-evs-in-europe-from-2028/", "source")</f>
        <v/>
      </c>
      <c r="W101" t="inlineStr"/>
      <c r="X101" t="inlineStr"/>
      <c r="Y101" t="inlineStr">
        <is>
          <t>5d454fdf-1217-5194-a629-e45fc3729c9a</t>
        </is>
      </c>
    </row>
    <row r="102">
      <c r="A102" t="inlineStr">
        <is>
          <t>toyota</t>
        </is>
      </c>
      <c r="B102" t="inlineStr">
        <is>
          <t>GB</t>
        </is>
      </c>
      <c r="C102" t="inlineStr">
        <is>
          <t>Derbyshire</t>
        </is>
      </c>
      <c r="D102" t="inlineStr">
        <is>
          <t>vehicle</t>
        </is>
      </c>
      <c r="E102" t="inlineStr">
        <is>
          <t>electric</t>
        </is>
      </c>
      <c r="F102" t="n">
        <v>1</v>
      </c>
      <c r="G102" t="inlineStr">
        <is>
          <t>announced</t>
        </is>
      </c>
      <c r="H102" t="n">
        <v>10000</v>
      </c>
      <c r="I102" t="n">
        <v>10000</v>
      </c>
      <c r="J102" t="n">
        <v>49304455</v>
      </c>
      <c r="K102" t="n">
        <v>49304455</v>
      </c>
      <c r="L102" t="b">
        <v>0</v>
      </c>
      <c r="M102" t="inlineStr">
        <is>
          <t>2025-05</t>
        </is>
      </c>
      <c r="N102" t="inlineStr"/>
      <c r="O102" t="inlineStr"/>
      <c r="P102" t="b">
        <v>0</v>
      </c>
      <c r="Q102" t="b">
        <v>0</v>
      </c>
      <c r="R102" t="b">
        <v>0</v>
      </c>
      <c r="S102">
        <f>HYPERLINK("https://www.just-auto.com/news/toyotas-gr-corolla-production-move-to-britain/", "source")</f>
        <v/>
      </c>
      <c r="T102">
        <f>HYPERLINK("https://www.just-auto.com/news/toyotas-gr-corolla-production-move-to-britain/", "source")</f>
        <v/>
      </c>
      <c r="U102">
        <f>HYPERLINK("https://www.just-auto.com/news/toyotas-gr-corolla-production-move-to-britain/", "source")</f>
        <v/>
      </c>
      <c r="V102">
        <f>HYPERLINK("https://www.just-auto.com/news/toyotas-gr-corolla-production-move-to-britain/", "source")</f>
        <v/>
      </c>
      <c r="W102" t="inlineStr"/>
      <c r="X102" t="inlineStr"/>
      <c r="Y102" t="inlineStr">
        <is>
          <t>467032b5-ba49-548d-bb13-ca887c6425c6</t>
        </is>
      </c>
    </row>
    <row r="103">
      <c r="A103" t="inlineStr">
        <is>
          <t>toyota</t>
        </is>
      </c>
      <c r="B103" t="inlineStr">
        <is>
          <t>GB</t>
        </is>
      </c>
      <c r="C103" t="inlineStr">
        <is>
          <t>Derbyshire</t>
        </is>
      </c>
      <c r="D103" t="inlineStr">
        <is>
          <t>vehicle</t>
        </is>
      </c>
      <c r="E103" t="inlineStr">
        <is>
          <t>electric</t>
        </is>
      </c>
      <c r="F103" t="n">
        <v>2</v>
      </c>
      <c r="G103" t="inlineStr">
        <is>
          <t>announced</t>
        </is>
      </c>
      <c r="H103" t="inlineStr"/>
      <c r="I103" t="inlineStr"/>
      <c r="J103" t="n">
        <v>0</v>
      </c>
      <c r="K103" t="n">
        <v>49304455</v>
      </c>
      <c r="L103" t="b">
        <v>0</v>
      </c>
      <c r="M103" t="inlineStr">
        <is>
          <t>2025-05</t>
        </is>
      </c>
      <c r="N103" t="inlineStr"/>
      <c r="O103" t="inlineStr"/>
      <c r="P103" t="b">
        <v>0</v>
      </c>
      <c r="Q103" t="b">
        <v>0</v>
      </c>
      <c r="R103" t="b">
        <v>0</v>
      </c>
      <c r="S103">
        <f>HYPERLINK("https://www.just-auto.com/news/toyotas-gr-corolla-production-move-to-britain/", "source")</f>
        <v/>
      </c>
      <c r="T103" t="inlineStr"/>
      <c r="U103">
        <f>HYPERLINK("https://www.just-auto.com/news/toyotas-gr-corolla-production-move-to-britain/", "source")</f>
        <v/>
      </c>
      <c r="V103">
        <f>HYPERLINK("https://www.just-auto.com/news/toyotas-gr-corolla-production-move-to-britain/", "source")</f>
        <v/>
      </c>
      <c r="W103" t="inlineStr"/>
      <c r="X103" t="inlineStr"/>
      <c r="Y103" t="inlineStr">
        <is>
          <t>467032b5-ba49-548d-bb13-ca887c6425c6</t>
        </is>
      </c>
    </row>
    <row r="104">
      <c r="A104" t="inlineStr">
        <is>
          <t>triwo ag</t>
        </is>
      </c>
      <c r="B104" t="inlineStr">
        <is>
          <t>DE</t>
        </is>
      </c>
      <c r="C104" t="inlineStr">
        <is>
          <t>Aachen</t>
        </is>
      </c>
      <c r="D104" t="inlineStr">
        <is>
          <t>vehicle</t>
        </is>
      </c>
      <c r="E104" t="inlineStr">
        <is>
          <t>electric</t>
        </is>
      </c>
      <c r="F104" t="n">
        <v>1</v>
      </c>
      <c r="G104" t="inlineStr">
        <is>
          <t>operational</t>
        </is>
      </c>
      <c r="H104" t="n">
        <v>10000</v>
      </c>
      <c r="I104" t="n">
        <v>10000</v>
      </c>
      <c r="J104" t="n">
        <v>25700000</v>
      </c>
      <c r="K104" t="n">
        <v>25700000</v>
      </c>
      <c r="L104" t="b">
        <v>0</v>
      </c>
      <c r="M104" t="inlineStr">
        <is>
          <t>2018-07</t>
        </is>
      </c>
      <c r="N104" t="inlineStr">
        <is>
          <t>2018-07</t>
        </is>
      </c>
      <c r="O104" t="inlineStr">
        <is>
          <t>2018-07</t>
        </is>
      </c>
      <c r="P104" t="b">
        <v>0</v>
      </c>
      <c r="Q104" t="b">
        <v>0</v>
      </c>
      <c r="R104" t="b">
        <v>0</v>
      </c>
      <c r="S104">
        <f>HYPERLINK("https://www.electrive.com/2018/07/15/e-go-mobile-opens-factory-in-aachen/", "source")</f>
        <v/>
      </c>
      <c r="T104">
        <f>HYPERLINK("https://www.electrive.com/2018/07/15/e-go-mobile-opens-factory-in-aachen/", "source")</f>
        <v/>
      </c>
      <c r="U104">
        <f>HYPERLINK("https://www.electrive.com/2018/07/15/e-go-mobile-opens-factory-in-aachen/", "source")</f>
        <v/>
      </c>
      <c r="V104">
        <f>HYPERLINK("https://www.electrive.com/2018/07/15/e-go-mobile-opens-factory-in-aachen/", "source")</f>
        <v/>
      </c>
      <c r="W104">
        <f>HYPERLINK("https://www.electrive.com/2018/07/15/e-go-mobile-opens-factory-in-aachen/", "source")</f>
        <v/>
      </c>
      <c r="X104">
        <f>HYPERLINK("https://www.electrive.com/2018/07/15/e-go-mobile-opens-factory-in-aachen/", "source")</f>
        <v/>
      </c>
      <c r="Y104" t="inlineStr">
        <is>
          <t>d697f34a-42b3-5063-8998-fcf27158006f</t>
        </is>
      </c>
    </row>
    <row r="105">
      <c r="A105" t="inlineStr">
        <is>
          <t>volkswagen</t>
        </is>
      </c>
      <c r="B105" t="inlineStr">
        <is>
          <t>DE</t>
        </is>
      </c>
      <c r="C105" t="inlineStr">
        <is>
          <t>Dresden</t>
        </is>
      </c>
      <c r="D105" t="inlineStr">
        <is>
          <t>vehicle</t>
        </is>
      </c>
      <c r="E105" t="inlineStr">
        <is>
          <t>electric</t>
        </is>
      </c>
      <c r="F105" t="n">
        <v>1</v>
      </c>
      <c r="G105" t="inlineStr">
        <is>
          <t>operational</t>
        </is>
      </c>
      <c r="H105" t="n">
        <v>26280</v>
      </c>
      <c r="I105" t="n">
        <v>26280</v>
      </c>
      <c r="J105" t="n">
        <v>144540000</v>
      </c>
      <c r="K105" t="n">
        <v>144540000</v>
      </c>
      <c r="L105" t="b">
        <v>1</v>
      </c>
      <c r="M105" t="inlineStr">
        <is>
          <t>2015-07</t>
        </is>
      </c>
      <c r="N105" t="inlineStr">
        <is>
          <t>2015-07</t>
        </is>
      </c>
      <c r="O105" t="inlineStr">
        <is>
          <t>2018-07</t>
        </is>
      </c>
      <c r="P105" t="b">
        <v>1</v>
      </c>
      <c r="Q105" t="b">
        <v>1</v>
      </c>
      <c r="R105" t="b">
        <v>0</v>
      </c>
      <c r="S105">
        <f>HYPERLINK("https://www.electrive.com/2018/07/23/volkswagen-to-upgrade-manufacturing-to-160-e-golf-daily/", "source")</f>
        <v/>
      </c>
      <c r="T105">
        <f>HYPERLINK("https://www.electrive.com/2018/07/23/volkswagen-to-upgrade-manufacturing-to-160-e-golf-daily/", "source")</f>
        <v/>
      </c>
      <c r="U105">
        <f>HYPERLINK("https://www.electrive.com/2018/07/23/volkswagen-to-upgrade-manufacturing-to-160-e-golf-daily/", "source")</f>
        <v/>
      </c>
      <c r="V105" t="inlineStr"/>
      <c r="W105" t="inlineStr"/>
      <c r="X105">
        <f>HYPERLINK("https://www.electrive.com/2018/07/23/volkswagen-to-upgrade-manufacturing-to-160-e-golf-daily/", "source")</f>
        <v/>
      </c>
      <c r="Y105" t="inlineStr">
        <is>
          <t>842c381a-a073-5832-8b6a-d6433b8b9791</t>
        </is>
      </c>
    </row>
    <row r="106">
      <c r="A106" t="inlineStr">
        <is>
          <t>volkswagen</t>
        </is>
      </c>
      <c r="B106" t="inlineStr">
        <is>
          <t>DE</t>
        </is>
      </c>
      <c r="C106" t="inlineStr">
        <is>
          <t>Emden</t>
        </is>
      </c>
      <c r="D106" t="inlineStr">
        <is>
          <t>vehicle</t>
        </is>
      </c>
      <c r="E106" t="inlineStr">
        <is>
          <t>electric</t>
        </is>
      </c>
      <c r="F106" t="n">
        <v>1</v>
      </c>
      <c r="G106" t="inlineStr">
        <is>
          <t>operational</t>
        </is>
      </c>
      <c r="H106" t="n">
        <v>190000</v>
      </c>
      <c r="I106" t="n">
        <v>190000</v>
      </c>
      <c r="J106" t="n">
        <v>1000000000</v>
      </c>
      <c r="K106" t="n">
        <v>1000000000</v>
      </c>
      <c r="L106" t="b">
        <v>0</v>
      </c>
      <c r="M106" t="inlineStr">
        <is>
          <t>2019-09</t>
        </is>
      </c>
      <c r="N106" t="inlineStr">
        <is>
          <t>2020-07</t>
        </is>
      </c>
      <c r="O106" t="inlineStr">
        <is>
          <t>2024-08</t>
        </is>
      </c>
      <c r="P106" t="b">
        <v>0</v>
      </c>
      <c r="Q106" t="b">
        <v>0</v>
      </c>
      <c r="R106" t="b">
        <v>0</v>
      </c>
      <c r="S106">
        <f>HYPERLINK("https://www.electrive.com/2024/08/26/vw-probably-wants-to-increase-ev-production-in-emden/", "source")</f>
        <v/>
      </c>
      <c r="T106">
        <f>HYPERLINK("https://www.electrive.com/2024/08/26/vw-probably-wants-to-increase-ev-production-in-emden/", "source")</f>
        <v/>
      </c>
      <c r="U106">
        <f>HYPERLINK("https://www.electrive.com/2022/05/20/id-4-production-kicks-off-in-emden/", "source")</f>
        <v/>
      </c>
      <c r="V106">
        <f>HYPERLINK("https://www.electrive.com/2019/09/30/first-in-2023-vws-small-electric-car-under-20000-euros/", "source")</f>
        <v/>
      </c>
      <c r="W106">
        <f>HYPERLINK("https://www.electrive.com/2020/07/06/vw-starts-meb-reconstruction-of-the-emden-plant/", "source")</f>
        <v/>
      </c>
      <c r="X106">
        <f>HYPERLINK("https://www.electrive.com/2024/08/26/vw-probably-wants-to-increase-ev-production-in-emden/", "source")</f>
        <v/>
      </c>
      <c r="Y106" t="inlineStr">
        <is>
          <t>c2cce1b2-8f58-5496-9f2a-c536fb22786c</t>
        </is>
      </c>
    </row>
    <row r="107">
      <c r="A107" t="inlineStr">
        <is>
          <t>volkswagen</t>
        </is>
      </c>
      <c r="B107" t="inlineStr">
        <is>
          <t>DE</t>
        </is>
      </c>
      <c r="C107" t="inlineStr">
        <is>
          <t>Hanover</t>
        </is>
      </c>
      <c r="D107" t="inlineStr">
        <is>
          <t>vehicle</t>
        </is>
      </c>
      <c r="E107" t="inlineStr">
        <is>
          <t>electric</t>
        </is>
      </c>
      <c r="F107" t="n">
        <v>1</v>
      </c>
      <c r="G107" t="inlineStr">
        <is>
          <t>operational</t>
        </is>
      </c>
      <c r="H107" t="n">
        <v>36500</v>
      </c>
      <c r="I107" t="n">
        <v>36500</v>
      </c>
      <c r="J107" t="n">
        <v>200750000</v>
      </c>
      <c r="K107" t="n">
        <v>200750000</v>
      </c>
      <c r="L107" t="b">
        <v>1</v>
      </c>
      <c r="M107" t="inlineStr">
        <is>
          <t>2019-06</t>
        </is>
      </c>
      <c r="N107" t="inlineStr">
        <is>
          <t>2019-06</t>
        </is>
      </c>
      <c r="O107" t="inlineStr">
        <is>
          <t>2022-06</t>
        </is>
      </c>
      <c r="P107" t="b">
        <v>1</v>
      </c>
      <c r="Q107" t="b">
        <v>1</v>
      </c>
      <c r="R107" t="b">
        <v>0</v>
      </c>
      <c r="S107">
        <f>HYPERLINK("https://www.electrive.com/2022/09/19/12-500-pre-orders-for-the-id-buzz/", "source")</f>
        <v/>
      </c>
      <c r="T107">
        <f>HYPERLINK("https://www.electrive.com/2022/09/19/12-500-pre-orders-for-the-id-buzz/", "source")</f>
        <v/>
      </c>
      <c r="U107">
        <f>HYPERLINK("https://www.electrive.com/2022/09/19/12-500-pre-orders-for-the-id-buzz/", "source")</f>
        <v/>
      </c>
      <c r="V107" t="inlineStr"/>
      <c r="W107" t="inlineStr"/>
      <c r="X107">
        <f>HYPERLINK("https://www.electrive.com/2022/06/25/volkswagen-halts-id-buzz-production-in-hanover/", "source")</f>
        <v/>
      </c>
      <c r="Y107" t="inlineStr">
        <is>
          <t>f50f1baf-752f-5614-a4b3-9dc9071ee0e9</t>
        </is>
      </c>
    </row>
    <row r="108">
      <c r="A108" t="inlineStr">
        <is>
          <t>volkswagen</t>
        </is>
      </c>
      <c r="B108" t="inlineStr">
        <is>
          <t>DE</t>
        </is>
      </c>
      <c r="C108" t="inlineStr">
        <is>
          <t>Hanover</t>
        </is>
      </c>
      <c r="D108" t="inlineStr">
        <is>
          <t>vehicle</t>
        </is>
      </c>
      <c r="E108" t="inlineStr">
        <is>
          <t>electric</t>
        </is>
      </c>
      <c r="F108" t="n">
        <v>2</v>
      </c>
      <c r="G108" t="inlineStr">
        <is>
          <t>announced</t>
        </is>
      </c>
      <c r="H108" t="n">
        <v>63500</v>
      </c>
      <c r="I108" t="n">
        <v>100000</v>
      </c>
      <c r="J108" t="n">
        <v>349250000</v>
      </c>
      <c r="K108" t="n">
        <v>550000000</v>
      </c>
      <c r="L108" t="b">
        <v>1</v>
      </c>
      <c r="M108" t="inlineStr">
        <is>
          <t>2022-06</t>
        </is>
      </c>
      <c r="N108" t="inlineStr"/>
      <c r="O108" t="inlineStr"/>
      <c r="P108" t="b">
        <v>0</v>
      </c>
      <c r="Q108" t="b">
        <v>0</v>
      </c>
      <c r="R108" t="b">
        <v>0</v>
      </c>
      <c r="S108">
        <f>HYPERLINK("https://www.electrive.com/2022/09/19/12-500-pre-orders-for-the-id-buzz/", "source")</f>
        <v/>
      </c>
      <c r="T108">
        <f>HYPERLINK("https://www.electrive.com/2022/09/19/12-500-pre-orders-for-the-id-buzz/", "source")</f>
        <v/>
      </c>
      <c r="U108">
        <f>HYPERLINK("https://www.electrive.com/2022/09/19/12-500-pre-orders-for-the-id-buzz/", "source")</f>
        <v/>
      </c>
      <c r="V108">
        <f>HYPERLINK("https://www.autoweek.com/news/green-cars/a40217054/vw-id-buzz-production-start-germany/", "source")</f>
        <v/>
      </c>
      <c r="W108" t="inlineStr"/>
      <c r="X108" t="inlineStr"/>
      <c r="Y108" t="inlineStr">
        <is>
          <t>f50f1baf-752f-5614-a4b3-9dc9071ee0e9</t>
        </is>
      </c>
    </row>
    <row r="109">
      <c r="A109" t="inlineStr">
        <is>
          <t>volkswagen</t>
        </is>
      </c>
      <c r="B109" t="inlineStr">
        <is>
          <t>DE</t>
        </is>
      </c>
      <c r="C109" t="inlineStr">
        <is>
          <t>Wolfsburg</t>
        </is>
      </c>
      <c r="D109" t="inlineStr">
        <is>
          <t>vehicle</t>
        </is>
      </c>
      <c r="E109" t="inlineStr">
        <is>
          <t>electric</t>
        </is>
      </c>
      <c r="F109" t="n">
        <v>1</v>
      </c>
      <c r="G109" t="inlineStr">
        <is>
          <t>cancelled</t>
        </is>
      </c>
      <c r="H109" t="inlineStr"/>
      <c r="I109" t="inlineStr"/>
      <c r="J109" t="n">
        <v>460000000</v>
      </c>
      <c r="K109" t="n">
        <v>460000000</v>
      </c>
      <c r="L109" t="b">
        <v>0</v>
      </c>
      <c r="M109" t="inlineStr">
        <is>
          <t>2022-12</t>
        </is>
      </c>
      <c r="N109" t="inlineStr"/>
      <c r="O109" t="inlineStr"/>
      <c r="P109" t="b">
        <v>0</v>
      </c>
      <c r="Q109" t="b">
        <v>0</v>
      </c>
      <c r="R109" t="b">
        <v>0</v>
      </c>
      <c r="S109">
        <f>HYPERLINK("https://www.electrive.com/2024/03/08/vw-cancels-id-3-production-in-wolfsburg/", "source")</f>
        <v/>
      </c>
      <c r="T109">
        <f>HYPERLINK("https://www.electrive.com/2024/03/08/vw-cancels-id-3-production-in-wolfsburg/", "source")</f>
        <v/>
      </c>
      <c r="U109">
        <f>HYPERLINK("https://www.reuters.com/business/autos-transportation/volkswagen-invest-482-million-electrifying-wolfsburg-plant-2022-12-07/?utm_source=chatgpt.com", "source")</f>
        <v/>
      </c>
      <c r="V109">
        <f>HYPERLINK("https://www.electrive.com/2022/12/07/wolfsburg-invests-e460-million-in-wolfsburg-plant/", "source")</f>
        <v/>
      </c>
      <c r="W109" t="inlineStr"/>
      <c r="X109" t="inlineStr"/>
      <c r="Y109" t="inlineStr">
        <is>
          <t>406c18cc-70e9-5147-9276-ceccef59d220</t>
        </is>
      </c>
    </row>
    <row r="110">
      <c r="A110" t="inlineStr">
        <is>
          <t>volkswagen</t>
        </is>
      </c>
      <c r="B110" t="inlineStr">
        <is>
          <t>DE</t>
        </is>
      </c>
      <c r="C110" t="inlineStr">
        <is>
          <t>Zwickau</t>
        </is>
      </c>
      <c r="D110" t="inlineStr">
        <is>
          <t>vehicle</t>
        </is>
      </c>
      <c r="E110" t="inlineStr">
        <is>
          <t>electric</t>
        </is>
      </c>
      <c r="F110" t="n">
        <v>1</v>
      </c>
      <c r="G110" t="inlineStr">
        <is>
          <t>operational</t>
        </is>
      </c>
      <c r="H110" t="n">
        <v>350000</v>
      </c>
      <c r="I110" t="n">
        <v>350000</v>
      </c>
      <c r="J110" t="n">
        <v>1200000000</v>
      </c>
      <c r="K110" t="n">
        <v>1200000000</v>
      </c>
      <c r="L110" t="b">
        <v>0</v>
      </c>
      <c r="M110" t="inlineStr">
        <is>
          <t>2017-05</t>
        </is>
      </c>
      <c r="N110" t="inlineStr">
        <is>
          <t>2018-11</t>
        </is>
      </c>
      <c r="O110" t="inlineStr">
        <is>
          <t>2020-06</t>
        </is>
      </c>
      <c r="P110" t="b">
        <v>0</v>
      </c>
      <c r="Q110" t="b">
        <v>0</v>
      </c>
      <c r="R110" t="b">
        <v>0</v>
      </c>
      <c r="S110">
        <f>HYPERLINK("https://www.electrive.com/2023/11/15/volkswagen-dials-down-electric-car-production-in-saxony/", "source")</f>
        <v/>
      </c>
      <c r="T110">
        <f>HYPERLINK("https://www.electrive.com/2023/11/15/volkswagen-dials-down-electric-car-production-in-saxony/", "source")</f>
        <v/>
      </c>
      <c r="U110">
        <f>HYPERLINK("https://www.electrive.com/2022/01/27/vw-launches-series-production-of-the-id-5-in-zwickau/", "source")</f>
        <v/>
      </c>
      <c r="V110">
        <f>HYPERLINK("https://www.electrive.com/2017/05/08/vw-mg-byd-wkw-lexus/", "source")</f>
        <v/>
      </c>
      <c r="W110">
        <f>HYPERLINK("https://www.electrive.com/2018/11/15/volkswagen-upgrading-zwickau-for-330000-ev-capacity/", "source")</f>
        <v/>
      </c>
      <c r="X110">
        <f>HYPERLINK("https://www.electrive.com/2020/06/26/volkswagens-last-combustion-engine-in-zwickau/", "source")</f>
        <v/>
      </c>
      <c r="Y110" t="inlineStr">
        <is>
          <t>f4da068d-a297-54a5-a4ae-89eb4c1bc2d4</t>
        </is>
      </c>
    </row>
    <row r="111">
      <c r="A111" t="inlineStr">
        <is>
          <t>volkswagen</t>
        </is>
      </c>
      <c r="B111" t="inlineStr">
        <is>
          <t>ES</t>
        </is>
      </c>
      <c r="C111" t="inlineStr">
        <is>
          <t>Navarre</t>
        </is>
      </c>
      <c r="D111" t="inlineStr">
        <is>
          <t>vehicle</t>
        </is>
      </c>
      <c r="E111" t="inlineStr">
        <is>
          <t>electric</t>
        </is>
      </c>
      <c r="F111" t="n">
        <v>1</v>
      </c>
      <c r="G111" t="inlineStr">
        <is>
          <t>under construction</t>
        </is>
      </c>
      <c r="H111" t="n">
        <v>180000</v>
      </c>
      <c r="I111" t="n">
        <v>180000</v>
      </c>
      <c r="J111" t="n">
        <v>1000000000</v>
      </c>
      <c r="K111" t="n">
        <v>1000000000</v>
      </c>
      <c r="L111" t="b">
        <v>0</v>
      </c>
      <c r="M111" t="inlineStr">
        <is>
          <t>2023-02</t>
        </is>
      </c>
      <c r="N111" t="inlineStr">
        <is>
          <t>2023-03</t>
        </is>
      </c>
      <c r="O111" t="inlineStr">
        <is>
          <t>2026-03</t>
        </is>
      </c>
      <c r="P111" t="b">
        <v>0</v>
      </c>
      <c r="Q111" t="b">
        <v>0</v>
      </c>
      <c r="R111" t="b">
        <v>1</v>
      </c>
      <c r="S111">
        <f>HYPERLINK("https://investinnavarra.com/en/this-is-the-second-electric-model-to-be-manufactured-at-vw-navarra/?utm_source=chatgpt.com", "source")</f>
        <v/>
      </c>
      <c r="T111">
        <f>HYPERLINK("https://www.navarratalent.com/en/the-1-024-million-euro-investment-project-promoted-by-the-department-of-economic-and-business-development-at-the-request-of-volkswagen-navarra-has-been-declared-of-regional-interest/?utm_source=chatgpt.com", "source")</f>
        <v/>
      </c>
      <c r="U111">
        <f>HYPERLINK("https://investinnavarra.com/en/this-is-the-second-electric-model-to-be-manufactured-at-vw-navarra/?utm_source=chatgpt.com", "source")</f>
        <v/>
      </c>
      <c r="V111">
        <f>HYPERLINK("https://euroweeklynews.com/2023/02/15/volkswagen-announces-plans-for-a-billion-plus-investment-in-its-landaben-navarra-plant/", "source")</f>
        <v/>
      </c>
      <c r="W111">
        <f>HYPERLINK("https://www.navarratalent.com/en/the-1-024-million-euro-investment-project-promoted-by-the-department-of-economic-and-business-development-at-the-request-of-volkswagen-navarra-has-been-declared-of-regional-interest/?utm_source=chatgpt.com", "source")</f>
        <v/>
      </c>
      <c r="X111" t="inlineStr"/>
      <c r="Y111" t="inlineStr">
        <is>
          <t>ee6d2743-1498-56f1-b2e4-ffd98fb98937</t>
        </is>
      </c>
    </row>
    <row r="112">
      <c r="A112" t="inlineStr">
        <is>
          <t>volkswagen</t>
        </is>
      </c>
      <c r="B112" t="inlineStr">
        <is>
          <t>PT</t>
        </is>
      </c>
      <c r="C112" t="inlineStr">
        <is>
          <t>Setúbal</t>
        </is>
      </c>
      <c r="D112" t="inlineStr">
        <is>
          <t>vehicle</t>
        </is>
      </c>
      <c r="E112" t="inlineStr">
        <is>
          <t>electric</t>
        </is>
      </c>
      <c r="F112" t="n">
        <v>1</v>
      </c>
      <c r="G112" t="inlineStr">
        <is>
          <t>under construction</t>
        </is>
      </c>
      <c r="H112" t="n">
        <v>100000</v>
      </c>
      <c r="I112" t="n">
        <v>100000</v>
      </c>
      <c r="J112" t="n">
        <v>550000000</v>
      </c>
      <c r="K112" t="n">
        <v>550000000</v>
      </c>
      <c r="L112" t="b">
        <v>1</v>
      </c>
      <c r="M112" t="inlineStr">
        <is>
          <t>2025-04</t>
        </is>
      </c>
      <c r="N112" t="inlineStr">
        <is>
          <t>2025-04</t>
        </is>
      </c>
      <c r="O112" t="inlineStr">
        <is>
          <t>2028-04</t>
        </is>
      </c>
      <c r="P112" t="b">
        <v>0</v>
      </c>
      <c r="Q112" t="b">
        <v>0</v>
      </c>
      <c r="R112" t="b">
        <v>1</v>
      </c>
      <c r="S112">
        <f>HYPERLINK("https://www.electrive.com/2025/04/10/vw-to-launch-id-1-production-in-september-2027/", "source")</f>
        <v/>
      </c>
      <c r="T112">
        <f>HYPERLINK("https://www.electrive.com/2025/04/10/vw-to-launch-id-1-production-in-september-2027/", "source")</f>
        <v/>
      </c>
      <c r="U112">
        <f>HYPERLINK("https://www.electrive.com/2025/04/10/vw-to-launch-id-1-production-in-september-2027/", "source")</f>
        <v/>
      </c>
      <c r="V112">
        <f>HYPERLINK("https://www.electrive.com/2025/04/10/vw-to-launch-id-1-production-in-september-2027/", "source")</f>
        <v/>
      </c>
      <c r="W112">
        <f>HYPERLINK("https://www.electrive.com/2025/04/10/vw-to-launch-id-1-production-in-september-2027/", "source")</f>
        <v/>
      </c>
      <c r="X112" t="inlineStr"/>
      <c r="Y112" t="inlineStr">
        <is>
          <t>3072e5fb-632b-5a61-8207-3ef11b28c950</t>
        </is>
      </c>
    </row>
    <row r="113">
      <c r="A113" t="inlineStr">
        <is>
          <t>volkswagen</t>
        </is>
      </c>
      <c r="B113" t="inlineStr">
        <is>
          <t>PT</t>
        </is>
      </c>
      <c r="C113" t="inlineStr">
        <is>
          <t>Setúbal</t>
        </is>
      </c>
      <c r="D113" t="inlineStr">
        <is>
          <t>vehicle</t>
        </is>
      </c>
      <c r="E113" t="inlineStr">
        <is>
          <t>electric</t>
        </is>
      </c>
      <c r="F113" t="n">
        <v>2</v>
      </c>
      <c r="G113" t="inlineStr">
        <is>
          <t>announced</t>
        </is>
      </c>
      <c r="H113" t="inlineStr"/>
      <c r="I113" t="inlineStr"/>
      <c r="J113" t="n">
        <v>0</v>
      </c>
      <c r="K113" t="n">
        <v>420000000</v>
      </c>
      <c r="L113" t="b">
        <v>0</v>
      </c>
      <c r="M113" t="inlineStr">
        <is>
          <t>2025-03</t>
        </is>
      </c>
      <c r="N113" t="inlineStr"/>
      <c r="O113" t="inlineStr"/>
      <c r="P113" t="b">
        <v>0</v>
      </c>
      <c r="Q113" t="b">
        <v>0</v>
      </c>
      <c r="R113" t="b">
        <v>0</v>
      </c>
      <c r="S113">
        <f>HYPERLINK("https://www.portugal.gov.pt/en/gc24/communication/news-item?i=minister-of-economy-praises-portugal-being-chosen-to-manufacture-new-volkswagen-electric-vehicle", "source")</f>
        <v/>
      </c>
      <c r="T113" t="inlineStr"/>
      <c r="U113">
        <f>HYPERLINK("https://www.portugal.gov.pt/en/gc24/communication/news-item?i=minister-of-economy-praises-portugal-being-chosen-to-manufacture-new-volkswagen-electric-vehicle", "source")</f>
        <v/>
      </c>
      <c r="V113">
        <f>HYPERLINK("https://www.portugal.gov.pt/en/gc24/communication/news-item?i=minister-of-economy-praises-portugal-being-chosen-to-manufacture-new-volkswagen-electric-vehicle", "source")</f>
        <v/>
      </c>
      <c r="W113" t="inlineStr"/>
      <c r="X113" t="inlineStr"/>
      <c r="Y113" t="inlineStr">
        <is>
          <t>3072e5fb-632b-5a61-8207-3ef11b28c950</t>
        </is>
      </c>
    </row>
    <row r="114">
      <c r="A114" t="inlineStr">
        <is>
          <t>volkswagen</t>
        </is>
      </c>
      <c r="B114" t="inlineStr">
        <is>
          <t>SK</t>
        </is>
      </c>
      <c r="C114" t="inlineStr">
        <is>
          <t>Bratislava Region</t>
        </is>
      </c>
      <c r="D114" t="inlineStr">
        <is>
          <t>vehicle</t>
        </is>
      </c>
      <c r="E114" t="inlineStr">
        <is>
          <t>electric</t>
        </is>
      </c>
      <c r="F114" t="n">
        <v>1</v>
      </c>
      <c r="G114" t="inlineStr">
        <is>
          <t>operational</t>
        </is>
      </c>
      <c r="H114" t="n">
        <v>20000</v>
      </c>
      <c r="I114" t="n">
        <v>20000</v>
      </c>
      <c r="J114" t="n">
        <v>110000000</v>
      </c>
      <c r="K114" t="n">
        <v>110000000</v>
      </c>
      <c r="L114" t="b">
        <v>1</v>
      </c>
      <c r="M114" t="inlineStr">
        <is>
          <t>2016-12</t>
        </is>
      </c>
      <c r="N114" t="inlineStr">
        <is>
          <t>2016-12</t>
        </is>
      </c>
      <c r="O114" t="inlineStr">
        <is>
          <t>2019-12</t>
        </is>
      </c>
      <c r="P114" t="b">
        <v>1</v>
      </c>
      <c r="Q114" t="b">
        <v>1</v>
      </c>
      <c r="R114" t="b">
        <v>0</v>
      </c>
      <c r="S114">
        <f>HYPERLINK("www.placeholder.com", "source")</f>
        <v/>
      </c>
      <c r="T114">
        <f>HYPERLINK("www.placeholder.com", "source")</f>
        <v/>
      </c>
      <c r="U114">
        <f>HYPERLINK("www.placeholder.com", "source")</f>
        <v/>
      </c>
      <c r="V114" t="inlineStr"/>
      <c r="W114" t="inlineStr"/>
      <c r="X114">
        <f>HYPERLINK("www.placeholder.com", "source")</f>
        <v/>
      </c>
      <c r="Y114" t="inlineStr">
        <is>
          <t>87caa632-7c5c-5e67-947b-59d0a19b7cd2</t>
        </is>
      </c>
    </row>
    <row r="115">
      <c r="A115" t="inlineStr">
        <is>
          <t>volkswagen</t>
        </is>
      </c>
      <c r="B115" t="inlineStr">
        <is>
          <t>SK</t>
        </is>
      </c>
      <c r="C115" t="inlineStr">
        <is>
          <t>Bratislava Region</t>
        </is>
      </c>
      <c r="D115" t="inlineStr">
        <is>
          <t>vehicle</t>
        </is>
      </c>
      <c r="E115" t="inlineStr">
        <is>
          <t>electric</t>
        </is>
      </c>
      <c r="F115" t="n">
        <v>2</v>
      </c>
      <c r="G115" t="inlineStr">
        <is>
          <t>operational</t>
        </is>
      </c>
      <c r="H115" t="n">
        <v>120000</v>
      </c>
      <c r="I115" t="n">
        <v>140000</v>
      </c>
      <c r="J115" t="n">
        <v>660000000</v>
      </c>
      <c r="K115" t="n">
        <v>770000000</v>
      </c>
      <c r="L115" t="b">
        <v>1</v>
      </c>
      <c r="M115" t="inlineStr">
        <is>
          <t>2020-12</t>
        </is>
      </c>
      <c r="N115" t="inlineStr">
        <is>
          <t>2020-12</t>
        </is>
      </c>
      <c r="O115" t="inlineStr">
        <is>
          <t>2023-12</t>
        </is>
      </c>
      <c r="P115" t="b">
        <v>1</v>
      </c>
      <c r="Q115" t="b">
        <v>1</v>
      </c>
      <c r="R115" t="b">
        <v>0</v>
      </c>
      <c r="S115">
        <f>HYPERLINK("www.placeholder.com", "source")</f>
        <v/>
      </c>
      <c r="T115">
        <f>HYPERLINK("www.placeholder.com", "source")</f>
        <v/>
      </c>
      <c r="U115">
        <f>HYPERLINK("www.placeholder.com", "source")</f>
        <v/>
      </c>
      <c r="V115" t="inlineStr"/>
      <c r="W115" t="inlineStr"/>
      <c r="X115">
        <f>HYPERLINK("www.placeholder.com", "source")</f>
        <v/>
      </c>
      <c r="Y115" t="inlineStr">
        <is>
          <t>87caa632-7c5c-5e67-947b-59d0a19b7cd2</t>
        </is>
      </c>
    </row>
    <row r="116">
      <c r="A116" t="inlineStr">
        <is>
          <t>volvo</t>
        </is>
      </c>
      <c r="B116" t="inlineStr">
        <is>
          <t>BE</t>
        </is>
      </c>
      <c r="C116" t="inlineStr">
        <is>
          <t>Arrondissement of Ghent</t>
        </is>
      </c>
      <c r="D116" t="inlineStr">
        <is>
          <t>vehicle</t>
        </is>
      </c>
      <c r="E116" t="inlineStr">
        <is>
          <t>electric, fossil</t>
        </is>
      </c>
      <c r="F116" t="n">
        <v>1</v>
      </c>
      <c r="G116" t="inlineStr">
        <is>
          <t>operational</t>
        </is>
      </c>
      <c r="H116" t="n">
        <v>135000</v>
      </c>
      <c r="I116" t="n">
        <v>135000</v>
      </c>
      <c r="J116" t="n">
        <v>742500000</v>
      </c>
      <c r="K116" t="n">
        <v>742500000</v>
      </c>
      <c r="L116" t="b">
        <v>1</v>
      </c>
      <c r="M116" t="inlineStr">
        <is>
          <t>2020-03</t>
        </is>
      </c>
      <c r="N116" t="inlineStr">
        <is>
          <t>2020-03</t>
        </is>
      </c>
      <c r="O116" t="inlineStr">
        <is>
          <t>2020-12</t>
        </is>
      </c>
      <c r="P116" t="b">
        <v>0</v>
      </c>
      <c r="Q116" t="b">
        <v>1</v>
      </c>
      <c r="R116" t="b">
        <v>0</v>
      </c>
      <c r="S116">
        <f>HYPERLINK("https://www.electrive.com/2021/10/08/volvo-launches-production-of-the-c40-recharge/", "source")</f>
        <v/>
      </c>
      <c r="T116">
        <f>HYPERLINK("https://www.electrive.com/2021/10/08/volvo-launches-production-of-the-c40-recharge/", "source")</f>
        <v/>
      </c>
      <c r="U116">
        <f>HYPERLINK("https://www.electrive.com/2021/10/08/volvo-launches-production-of-the-c40-recharge/", "source")</f>
        <v/>
      </c>
      <c r="V116">
        <f>HYPERLINK("https://www.electrive.com/2020/03/06/volvo-launches-battery-assembly-in-ghent/", "source")</f>
        <v/>
      </c>
      <c r="W116" t="inlineStr"/>
      <c r="X116">
        <f>HYPERLINK("www.placeholder.com", "source")</f>
        <v/>
      </c>
      <c r="Y116" t="inlineStr">
        <is>
          <t>8727a516-7052-5f8b-a9da-0c21cb46ec42</t>
        </is>
      </c>
    </row>
    <row r="117">
      <c r="A117" t="inlineStr">
        <is>
          <t>volvo</t>
        </is>
      </c>
      <c r="B117" t="inlineStr">
        <is>
          <t>BE</t>
        </is>
      </c>
      <c r="C117" t="inlineStr">
        <is>
          <t>Arrondissement of Ghent</t>
        </is>
      </c>
      <c r="D117" t="inlineStr">
        <is>
          <t>vehicle</t>
        </is>
      </c>
      <c r="E117" t="inlineStr">
        <is>
          <t>electric, fossil</t>
        </is>
      </c>
      <c r="F117" t="n">
        <v>2</v>
      </c>
      <c r="G117" t="inlineStr">
        <is>
          <t>operational</t>
        </is>
      </c>
      <c r="H117" t="n">
        <v>65000</v>
      </c>
      <c r="I117" t="n">
        <v>200000</v>
      </c>
      <c r="J117" t="n">
        <v>0</v>
      </c>
      <c r="K117" t="n">
        <v>200000000</v>
      </c>
      <c r="L117" t="b">
        <v>0</v>
      </c>
      <c r="M117" t="inlineStr">
        <is>
          <t>2021-01</t>
        </is>
      </c>
      <c r="N117" t="inlineStr">
        <is>
          <t>2021-12</t>
        </is>
      </c>
      <c r="O117" t="inlineStr">
        <is>
          <t>2024-12</t>
        </is>
      </c>
      <c r="P117" t="b">
        <v>0</v>
      </c>
      <c r="Q117" t="b">
        <v>1</v>
      </c>
      <c r="R117" t="b">
        <v>0</v>
      </c>
      <c r="S117">
        <f>HYPERLINK("www.placeholder.com", "source")</f>
        <v/>
      </c>
      <c r="T117">
        <f>HYPERLINK("www.placeholder.com", "source")</f>
        <v/>
      </c>
      <c r="U117">
        <f>HYPERLINK("https://www.media.volvocars.com/us/en-us/media/pressreleases/347883/volvo-cars-starts-production-of-best-selling-ex30-electric-suv-in-europe?utm_source=chatgpt.com", "source")</f>
        <v/>
      </c>
      <c r="V117">
        <f>HYPERLINK("https://mb.cision.com/Main/23622/4194965/3561732.pdf?utm_source=chatgpt.com", "source")</f>
        <v/>
      </c>
      <c r="W117" t="inlineStr"/>
      <c r="X117">
        <f>HYPERLINK("www.placeholder.com", "source")</f>
        <v/>
      </c>
      <c r="Y117" t="inlineStr">
        <is>
          <t>8727a516-7052-5f8b-a9da-0c21cb46ec42</t>
        </is>
      </c>
    </row>
    <row r="118">
      <c r="A118" t="inlineStr">
        <is>
          <t>volvo</t>
        </is>
      </c>
      <c r="B118" t="inlineStr">
        <is>
          <t>SE</t>
        </is>
      </c>
      <c r="C118" t="inlineStr">
        <is>
          <t>Gothenburg Municipality</t>
        </is>
      </c>
      <c r="D118" t="inlineStr">
        <is>
          <t>vehicle</t>
        </is>
      </c>
      <c r="E118" t="inlineStr">
        <is>
          <t>electric</t>
        </is>
      </c>
      <c r="F118" t="n">
        <v>1</v>
      </c>
      <c r="G118" t="inlineStr">
        <is>
          <t>operational</t>
        </is>
      </c>
      <c r="H118" t="n">
        <v>120000</v>
      </c>
      <c r="I118" t="n">
        <v>120000</v>
      </c>
      <c r="J118" t="n">
        <v>660000000</v>
      </c>
      <c r="K118" t="n">
        <v>660000000</v>
      </c>
      <c r="L118" t="b">
        <v>1</v>
      </c>
      <c r="M118" t="inlineStr">
        <is>
          <t>2021-12</t>
        </is>
      </c>
      <c r="N118" t="inlineStr">
        <is>
          <t>2021-12</t>
        </is>
      </c>
      <c r="O118" t="inlineStr">
        <is>
          <t>2024-12</t>
        </is>
      </c>
      <c r="P118" t="b">
        <v>1</v>
      </c>
      <c r="Q118" t="b">
        <v>1</v>
      </c>
      <c r="R118" t="b">
        <v>0</v>
      </c>
      <c r="S118">
        <f>HYPERLINK("www.placeholder.com", "source")</f>
        <v/>
      </c>
      <c r="T118">
        <f>HYPERLINK("www.placeholder.com", "source")</f>
        <v/>
      </c>
      <c r="U118">
        <f>HYPERLINK("www.placeholder.com", "source")</f>
        <v/>
      </c>
      <c r="V118" t="inlineStr"/>
      <c r="W118" t="inlineStr"/>
      <c r="X118">
        <f>HYPERLINK("www.placeholder.com", "source")</f>
        <v/>
      </c>
      <c r="Y118" t="inlineStr">
        <is>
          <t>018941f9-89ca-5292-bb96-95fcd1445d4f</t>
        </is>
      </c>
    </row>
    <row r="119">
      <c r="A119" t="inlineStr">
        <is>
          <t>volvo</t>
        </is>
      </c>
      <c r="B119" t="inlineStr">
        <is>
          <t>SE</t>
        </is>
      </c>
      <c r="C119" t="inlineStr">
        <is>
          <t>Gothenburg Municipality</t>
        </is>
      </c>
      <c r="D119" t="inlineStr">
        <is>
          <t>vehicle</t>
        </is>
      </c>
      <c r="E119" t="inlineStr">
        <is>
          <t>electric</t>
        </is>
      </c>
      <c r="F119" t="n">
        <v>2</v>
      </c>
      <c r="G119" t="inlineStr">
        <is>
          <t>announced</t>
        </is>
      </c>
      <c r="H119" t="n">
        <v>180000</v>
      </c>
      <c r="I119" t="n">
        <v>300000</v>
      </c>
      <c r="J119" t="n">
        <v>222192071</v>
      </c>
      <c r="K119" t="n">
        <v>882192071</v>
      </c>
      <c r="L119" t="b">
        <v>0</v>
      </c>
      <c r="M119" t="inlineStr">
        <is>
          <t>2022-02</t>
        </is>
      </c>
      <c r="N119" t="inlineStr"/>
      <c r="O119" t="inlineStr"/>
      <c r="P119" t="b">
        <v>0</v>
      </c>
      <c r="Q119" t="b">
        <v>0</v>
      </c>
      <c r="R119" t="b">
        <v>0</v>
      </c>
      <c r="S119">
        <f>HYPERLINK("https://www.just-auto.com/news/volvo-cars-to-establish-a-mobility-innovation-centre/", "source")</f>
        <v/>
      </c>
      <c r="T119">
        <f>HYPERLINK("https://autovista24.autovistagroup.com/news/volvo-invests-millions-into-swedish-ev-plant", "source")</f>
        <v/>
      </c>
      <c r="U119">
        <f>HYPERLINK("https://www.just-auto.com/news/volvo-cars-to-establish-a-mobility-innovation-centre/", "source")</f>
        <v/>
      </c>
      <c r="V119">
        <f>HYPERLINK("https://autovista24.autovistagroup.com/news/volvo-invests-millions-into-swedish-ev-plant", "source")</f>
        <v/>
      </c>
      <c r="W119" t="inlineStr"/>
      <c r="X119" t="inlineStr"/>
      <c r="Y119" t="inlineStr">
        <is>
          <t>018941f9-89ca-5292-bb96-95fcd1445d4f</t>
        </is>
      </c>
    </row>
    <row r="120">
      <c r="A120" t="inlineStr">
        <is>
          <t>volvo</t>
        </is>
      </c>
      <c r="B120" t="inlineStr">
        <is>
          <t>SK</t>
        </is>
      </c>
      <c r="C120" t="inlineStr">
        <is>
          <t>Košice Region</t>
        </is>
      </c>
      <c r="D120" t="inlineStr">
        <is>
          <t>vehicle</t>
        </is>
      </c>
      <c r="E120" t="inlineStr">
        <is>
          <t>electric</t>
        </is>
      </c>
      <c r="F120" t="n">
        <v>1</v>
      </c>
      <c r="G120" t="inlineStr">
        <is>
          <t>under construction</t>
        </is>
      </c>
      <c r="H120" t="n">
        <v>250000</v>
      </c>
      <c r="I120" t="n">
        <v>250000</v>
      </c>
      <c r="J120" t="n">
        <v>1200000000</v>
      </c>
      <c r="K120" t="n">
        <v>1200000000</v>
      </c>
      <c r="L120" t="b">
        <v>0</v>
      </c>
      <c r="M120" t="inlineStr">
        <is>
          <t>2022-07</t>
        </is>
      </c>
      <c r="N120" t="inlineStr">
        <is>
          <t>2024-04</t>
        </is>
      </c>
      <c r="O120" t="inlineStr">
        <is>
          <t>2027-04</t>
        </is>
      </c>
      <c r="P120" t="b">
        <v>0</v>
      </c>
      <c r="Q120" t="b">
        <v>0</v>
      </c>
      <c r="R120" t="b">
        <v>1</v>
      </c>
      <c r="S120">
        <f>HYPERLINK("https://www.automotivemanufacturingsolutions.com/electrification/polestar-expands-european-production-with-new-polestar-7-in-slovakia/644091#:~:text=The%20Kosice%20facility%20is%20Volvo,early%202027%2C%20according%20to%20Reuters.", "source")</f>
        <v/>
      </c>
      <c r="T120">
        <f>HYPERLINK("https://www.automotivemanufacturingsolutions.com/electrification/polestar-expands-european-production-with-new-polestar-7-in-slovakia/644091#:~:text=The%20Kosice%20facility%20is%20Volvo,early%202027%2C%20according%20to%20Reuters.", "source")</f>
        <v/>
      </c>
      <c r="U120">
        <f>HYPERLINK("https://www.electrive.com/2024/04/09/eu-commission-approves-state-funding-for-volvos-electric-car-plant-in-slovakia/", "source")</f>
        <v/>
      </c>
      <c r="V120">
        <f>HYPERLINK("https://www.electrive.com/2022/07/02/volvo-to-construct-new-plant-in-slovakia/", "source")</f>
        <v/>
      </c>
      <c r="W120">
        <f>HYPERLINK("https://www.electrive.com/2024/04/09/eu-commission-approves-state-funding-for-volvos-electric-car-plant-in-slovakia/", "source")</f>
        <v/>
      </c>
      <c r="X120" t="inlineStr"/>
      <c r="Y120" t="inlineStr">
        <is>
          <t>dec5eae0-7357-50d5-8f00-e0f1053640d2</t>
        </is>
      </c>
    </row>
    <row r="121">
      <c r="A121" t="inlineStr">
        <is>
          <t>volvo trucks</t>
        </is>
      </c>
      <c r="B121" t="inlineStr">
        <is>
          <t>BE</t>
        </is>
      </c>
      <c r="C121" t="inlineStr">
        <is>
          <t>Arrondissement of Ghent</t>
        </is>
      </c>
      <c r="D121" t="inlineStr">
        <is>
          <t>vehicle</t>
        </is>
      </c>
      <c r="E121" t="inlineStr">
        <is>
          <t>electric</t>
        </is>
      </c>
      <c r="F121" t="n">
        <v>1</v>
      </c>
      <c r="G121" t="inlineStr">
        <is>
          <t>operational</t>
        </is>
      </c>
      <c r="H121" t="n">
        <v>45000</v>
      </c>
      <c r="I121" t="n">
        <v>45000</v>
      </c>
      <c r="J121" t="n">
        <v>247500000</v>
      </c>
      <c r="K121" t="n">
        <v>247500000</v>
      </c>
      <c r="L121" t="b">
        <v>1</v>
      </c>
      <c r="M121" t="inlineStr">
        <is>
          <t>2020-09</t>
        </is>
      </c>
      <c r="N121" t="inlineStr">
        <is>
          <t>2020-09</t>
        </is>
      </c>
      <c r="O121" t="inlineStr">
        <is>
          <t>2023-09</t>
        </is>
      </c>
      <c r="P121" t="b">
        <v>1</v>
      </c>
      <c r="Q121" t="b">
        <v>1</v>
      </c>
      <c r="R121" t="b">
        <v>0</v>
      </c>
      <c r="S121">
        <f>HYPERLINK("https://www.volvotrucks.com/en-en/news-stories/press-releases/2023/sep/volvo-starts-serial-production-of-electric-trucks-in-ghent.html", "source")</f>
        <v/>
      </c>
      <c r="T121">
        <f>HYPERLINK("https://www.volvotrucks.com/en-en/news-stories/press-releases/2023/sep/volvo-starts-serial-production-of-electric-trucks-in-ghent.html", "source")</f>
        <v/>
      </c>
      <c r="U121">
        <f>HYPERLINK("https://www.volvotrucks.com/en-en/news-stories/press-releases/2023/sep/volvo-starts-serial-production-of-electric-trucks-in-ghent.html", "source")</f>
        <v/>
      </c>
      <c r="V121" t="inlineStr"/>
      <c r="W121" t="inlineStr"/>
      <c r="X121">
        <f>HYPERLINK("https://www.volvotrucks.com/en-en/news-stories/press-releases/2023/sep/volvo-starts-serial-production-of-electric-trucks-in-ghent.html", "source")</f>
        <v/>
      </c>
      <c r="Y121" t="inlineStr">
        <is>
          <t>489bb6cf-7cb6-5cfd-9090-eb03078602fc</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20"/>
  <sheetViews>
    <sheetView workbookViewId="0">
      <selection activeCell="A1" sqref="A1"/>
    </sheetView>
  </sheetViews>
  <sheetFormatPr baseColWidth="8" defaultRowHeight="15"/>
  <sheetData>
    <row r="1">
      <c r="A1" s="16" t="inlineStr">
        <is>
          <t>owner</t>
        </is>
      </c>
      <c r="B1" s="16" t="inlineStr">
        <is>
          <t>country</t>
        </is>
      </c>
      <c r="C1" s="16" t="inlineStr">
        <is>
          <t>region</t>
        </is>
      </c>
      <c r="D1" s="16" t="inlineStr">
        <is>
          <t>product_lv1</t>
        </is>
      </c>
      <c r="E1" s="16" t="inlineStr">
        <is>
          <t>product_lv2</t>
        </is>
      </c>
      <c r="F1" s="16" t="inlineStr">
        <is>
          <t>phase</t>
        </is>
      </c>
      <c r="G1" s="16" t="inlineStr">
        <is>
          <t>status</t>
        </is>
      </c>
      <c r="H1" s="16" t="inlineStr">
        <is>
          <t>phase_capacity</t>
        </is>
      </c>
      <c r="I1" s="16" t="inlineStr">
        <is>
          <t>capacity_cumulative</t>
        </is>
      </c>
      <c r="J1" s="16" t="inlineStr">
        <is>
          <t>phase_investment</t>
        </is>
      </c>
      <c r="K1" s="16" t="inlineStr">
        <is>
          <t>investment_cumulative</t>
        </is>
      </c>
      <c r="L1" s="16" t="inlineStr">
        <is>
          <t>investment_was_imputed</t>
        </is>
      </c>
      <c r="M1" s="16" t="inlineStr">
        <is>
          <t>announced_on</t>
        </is>
      </c>
      <c r="N1" s="16" t="inlineStr">
        <is>
          <t>under_construction_on</t>
        </is>
      </c>
      <c r="O1" s="16" t="inlineStr">
        <is>
          <t>operational_on</t>
        </is>
      </c>
      <c r="P1" s="16" t="inlineStr">
        <is>
          <t>ann_date_imputed</t>
        </is>
      </c>
      <c r="Q1" s="16" t="inlineStr">
        <is>
          <t>uc_date_imputed</t>
        </is>
      </c>
      <c r="R1" s="16" t="inlineStr">
        <is>
          <t>op_date_imputed</t>
        </is>
      </c>
      <c r="S1" s="16" t="inlineStr">
        <is>
          <t>status_url</t>
        </is>
      </c>
      <c r="T1" s="16" t="inlineStr">
        <is>
          <t>capacity_url</t>
        </is>
      </c>
      <c r="U1" s="16" t="inlineStr">
        <is>
          <t>investment_url</t>
        </is>
      </c>
      <c r="V1" s="16" t="inlineStr">
        <is>
          <t>announced_url</t>
        </is>
      </c>
      <c r="W1" s="16" t="inlineStr">
        <is>
          <t>under_construction_url</t>
        </is>
      </c>
      <c r="X1" s="16" t="inlineStr">
        <is>
          <t>operational_url</t>
        </is>
      </c>
      <c r="Y1" s="16" t="inlineStr">
        <is>
          <t>project_id</t>
        </is>
      </c>
    </row>
    <row r="2">
      <c r="A2" t="inlineStr">
        <is>
          <t>acciaierie d’italia</t>
        </is>
      </c>
      <c r="B2" t="inlineStr">
        <is>
          <t>IT</t>
        </is>
      </c>
      <c r="C2" t="inlineStr">
        <is>
          <t>Taranto</t>
        </is>
      </c>
      <c r="D2" t="inlineStr">
        <is>
          <t>iron</t>
        </is>
      </c>
      <c r="E2" t="inlineStr">
        <is>
          <t>DRI</t>
        </is>
      </c>
      <c r="F2" t="n">
        <v>1</v>
      </c>
      <c r="G2" t="inlineStr">
        <is>
          <t>announced</t>
        </is>
      </c>
      <c r="H2" t="n">
        <v>2500000</v>
      </c>
      <c r="I2" t="n">
        <v>2500000</v>
      </c>
      <c r="J2" t="inlineStr"/>
      <c r="K2" t="inlineStr"/>
      <c r="L2" t="b">
        <v>0</v>
      </c>
      <c r="M2" t="inlineStr">
        <is>
          <t>2024-10</t>
        </is>
      </c>
      <c r="N2" t="inlineStr"/>
      <c r="O2" t="inlineStr"/>
      <c r="P2" t="b">
        <v>0</v>
      </c>
      <c r="Q2" t="b">
        <v>0</v>
      </c>
      <c r="R2" t="b">
        <v>0</v>
      </c>
      <c r="S2">
        <f>HYPERLINK("https://gmk.center/en/news/acciaierie-ditalia-to-build-dri-plant-in-taranto/", "source")</f>
        <v/>
      </c>
      <c r="T2">
        <f>HYPERLINK("https://gmk.center/en/news/acciaierie-ditalia-to-build-dri-plant-in-taranto/", "source")</f>
        <v/>
      </c>
      <c r="U2" t="inlineStr"/>
      <c r="V2">
        <f>HYPERLINK("https://gmk.center/en/news/acciaierie-ditalia-to-build-dri-plant-in-taranto/", "source")</f>
        <v/>
      </c>
      <c r="W2" t="inlineStr"/>
      <c r="X2" t="inlineStr"/>
      <c r="Y2" t="inlineStr">
        <is>
          <t>af2a7680-91aa-5c4b-90fa-3a69004ff080</t>
        </is>
      </c>
    </row>
    <row r="3">
      <c r="A3" t="inlineStr">
        <is>
          <t>arcelor mittal</t>
        </is>
      </c>
      <c r="B3" t="inlineStr">
        <is>
          <t>BE</t>
        </is>
      </c>
      <c r="C3" t="inlineStr">
        <is>
          <t>Arrondissement of Ghent</t>
        </is>
      </c>
      <c r="D3" t="inlineStr">
        <is>
          <t>iron</t>
        </is>
      </c>
      <c r="E3" t="inlineStr">
        <is>
          <t>DRI</t>
        </is>
      </c>
      <c r="F3" t="n">
        <v>1</v>
      </c>
      <c r="G3" t="inlineStr">
        <is>
          <t>announced</t>
        </is>
      </c>
      <c r="H3" t="n">
        <v>2500000</v>
      </c>
      <c r="I3" t="n">
        <v>2500000</v>
      </c>
      <c r="J3" t="n">
        <v>1100000000</v>
      </c>
      <c r="K3" t="n">
        <v>1100000000</v>
      </c>
      <c r="L3" t="b">
        <v>0</v>
      </c>
      <c r="M3" t="inlineStr">
        <is>
          <t>2021-09</t>
        </is>
      </c>
      <c r="N3" t="inlineStr"/>
      <c r="O3" t="inlineStr"/>
      <c r="P3" t="b">
        <v>0</v>
      </c>
      <c r="Q3" t="b">
        <v>0</v>
      </c>
      <c r="R3" t="b">
        <v>0</v>
      </c>
      <c r="S3">
        <f>HYPERLINK("https://eurometal.net/arcelormittal-committed-to-decarbonization-investment-in-belgium/", "source")</f>
        <v/>
      </c>
      <c r="T3">
        <f>HYPERLINK("https://eurometal.net/arcelormittal-committed-to-decarbonization-investment-in-belgium/", "source")</f>
        <v/>
      </c>
      <c r="U3">
        <f>HYPERLINK("https://eurometal.net/arcelormittal-committed-to-decarbonization-investment-in-belgium/", "source")</f>
        <v/>
      </c>
      <c r="V3">
        <f>HYPERLINK("https://corporate.arcelormittal.com/media/press-releases/arcelormittal-signs-letter-of-intent-with-the-governments-of-belgium-and-flanders-supporting-1-1-billion-investment-in-decarbonisation-technologies-at-its-flagship-gent-plant#", "source")</f>
        <v/>
      </c>
      <c r="W3" t="inlineStr"/>
      <c r="X3" t="inlineStr"/>
      <c r="Y3" t="inlineStr">
        <is>
          <t>e5fcc375-5f07-5272-9e9f-009e0c56b681</t>
        </is>
      </c>
    </row>
    <row r="4">
      <c r="A4" t="inlineStr">
        <is>
          <t>arcelor mittal</t>
        </is>
      </c>
      <c r="B4" t="inlineStr">
        <is>
          <t>DE</t>
        </is>
      </c>
      <c r="C4" t="inlineStr">
        <is>
          <t>Hamburg</t>
        </is>
      </c>
      <c r="D4" t="inlineStr">
        <is>
          <t>iron</t>
        </is>
      </c>
      <c r="E4" t="inlineStr">
        <is>
          <t>DRI</t>
        </is>
      </c>
      <c r="F4" t="n">
        <v>1</v>
      </c>
      <c r="G4" t="inlineStr">
        <is>
          <t>under construction</t>
        </is>
      </c>
      <c r="H4" t="n">
        <v>100000</v>
      </c>
      <c r="I4" t="n">
        <v>100000</v>
      </c>
      <c r="J4" t="inlineStr"/>
      <c r="K4" t="inlineStr"/>
      <c r="L4" t="b">
        <v>0</v>
      </c>
      <c r="M4" t="inlineStr">
        <is>
          <t>2021-03</t>
        </is>
      </c>
      <c r="N4" t="inlineStr">
        <is>
          <t>2021-03</t>
        </is>
      </c>
      <c r="O4" t="inlineStr">
        <is>
          <t>2024-03</t>
        </is>
      </c>
      <c r="P4" t="b">
        <v>0</v>
      </c>
      <c r="Q4" t="b">
        <v>0</v>
      </c>
      <c r="R4" t="b">
        <v>1</v>
      </c>
      <c r="S4">
        <f>HYPERLINK("https://corporate.arcelormittal.com/media/news-articles/arcelormittal-plans-major-investment-in-german-sites-to-accelerate-co2-emissions-reduction-strategy-and-leverage-the-hydrogen-grid", "source")</f>
        <v/>
      </c>
      <c r="T4">
        <f>HYPERLINK("https://corporate.arcelormittal.com/media/news-articles/arcelormittal-plans-major-investment-in-german-sites-to-accelerate-co2-emissions-reduction-strategy-and-leverage-the-hydrogen-grid", "source")</f>
        <v/>
      </c>
      <c r="U4" t="inlineStr"/>
      <c r="V4">
        <f>HYPERLINK("https://corporate.arcelormittal.com/media/news-articles/arcelormittal-plans-major-investment-in-german-sites-to-accelerate-co2-emissions-reduction-strategy-and-leverage-the-hydrogen-grid", "source")</f>
        <v/>
      </c>
      <c r="W4">
        <f>HYPERLINK("https://corporate.arcelormittal.com/media/news-articles/arcelormittal-plans-major-investment-in-german-sites-to-accelerate-co2-emissions-reduction-strategy-and-leverage-the-hydrogen-grid", "source")</f>
        <v/>
      </c>
      <c r="X4" t="inlineStr"/>
      <c r="Y4" t="inlineStr">
        <is>
          <t>b8e89b9a-b8c1-59a0-8b4e-bc51a337b8f1</t>
        </is>
      </c>
    </row>
    <row r="5">
      <c r="A5" t="inlineStr">
        <is>
          <t>arcelor mittal</t>
        </is>
      </c>
      <c r="B5" t="inlineStr">
        <is>
          <t>ES</t>
        </is>
      </c>
      <c r="C5" t="inlineStr">
        <is>
          <t>Gijón Municipality</t>
        </is>
      </c>
      <c r="D5" t="inlineStr">
        <is>
          <t>iron</t>
        </is>
      </c>
      <c r="E5" t="inlineStr">
        <is>
          <t>DRI</t>
        </is>
      </c>
      <c r="F5" t="n">
        <v>1</v>
      </c>
      <c r="G5" t="inlineStr">
        <is>
          <t>announced</t>
        </is>
      </c>
      <c r="H5" t="n">
        <v>2300000</v>
      </c>
      <c r="I5" t="n">
        <v>2300000</v>
      </c>
      <c r="J5" t="n">
        <v>1000000000</v>
      </c>
      <c r="K5" t="n">
        <v>1000000000</v>
      </c>
      <c r="L5" t="b">
        <v>0</v>
      </c>
      <c r="M5" t="inlineStr">
        <is>
          <t>2021-07</t>
        </is>
      </c>
      <c r="N5" t="inlineStr"/>
      <c r="O5" t="inlineStr"/>
      <c r="P5" t="b">
        <v>0</v>
      </c>
      <c r="Q5" t="b">
        <v>0</v>
      </c>
      <c r="R5" t="b">
        <v>0</v>
      </c>
      <c r="S5">
        <f>HYPERLINK("https://corporate.arcelormittal.com/media/press-releases/arcelormittal-signs-mou-with-the-spanish-government-supporting-1-billion-investment-in-decarbonisation-technologies", "source")</f>
        <v/>
      </c>
      <c r="T5">
        <f>HYPERLINK("https://corporate.arcelormittal.com/media/press-releases/arcelormittal-signs-mou-with-the-spanish-government-supporting-1-billion-investment-in-decarbonisation-technologies", "source")</f>
        <v/>
      </c>
      <c r="U5">
        <f>HYPERLINK("https://corporate.arcelormittal.com/media/press-releases/arcelormittal-signs-mou-with-the-spanish-government-supporting-1-billion-investment-in-decarbonisation-technologies", "source")</f>
        <v/>
      </c>
      <c r="V5">
        <f>HYPERLINK("https://corporate.arcelormittal.com/media/press-releases/arcelormittal-signs-mou-with-the-spanish-government-supporting-1-billion-investment-in-decarbonisation-technologies", "source")</f>
        <v/>
      </c>
      <c r="W5" t="inlineStr"/>
      <c r="X5" t="inlineStr"/>
      <c r="Y5" t="inlineStr">
        <is>
          <t>18deee0e-e9ec-5a00-bf52-30ae75fdfda9</t>
        </is>
      </c>
    </row>
    <row r="6">
      <c r="A6" t="inlineStr">
        <is>
          <t>arcelor mittal</t>
        </is>
      </c>
      <c r="B6" t="inlineStr">
        <is>
          <t>FR</t>
        </is>
      </c>
      <c r="C6" t="inlineStr">
        <is>
          <t>Dunkerque</t>
        </is>
      </c>
      <c r="D6" t="inlineStr">
        <is>
          <t>iron</t>
        </is>
      </c>
      <c r="E6" t="inlineStr">
        <is>
          <t>DRI</t>
        </is>
      </c>
      <c r="F6" t="n">
        <v>1</v>
      </c>
      <c r="G6" t="inlineStr">
        <is>
          <t>announced</t>
        </is>
      </c>
      <c r="H6" t="n">
        <v>2500000</v>
      </c>
      <c r="I6" t="n">
        <v>2500000</v>
      </c>
      <c r="J6" t="n">
        <v>1800000000</v>
      </c>
      <c r="K6" t="n">
        <v>1800000000</v>
      </c>
      <c r="L6" t="b">
        <v>0</v>
      </c>
      <c r="M6" t="inlineStr">
        <is>
          <t>2022-02</t>
        </is>
      </c>
      <c r="N6" t="inlineStr"/>
      <c r="O6" t="inlineStr"/>
      <c r="P6" t="b">
        <v>0</v>
      </c>
      <c r="Q6" t="b">
        <v>0</v>
      </c>
      <c r="R6" t="b">
        <v>0</v>
      </c>
      <c r="S6">
        <f>HYPERLINK("https://www.elnacional.cat/oneconomia/es/sostenibilidad/arcelormittal-arrancara-su-planta-con-gas-pero-no-renuncia-perte-verde-450-millones_1183641_102.html", "source")</f>
        <v/>
      </c>
      <c r="T6">
        <f>HYPERLINK("https://eurometal.net/arcelormittal-secures-eu-funds-for-dunkirk-eaf-shift/", "source")</f>
        <v/>
      </c>
      <c r="U6">
        <f>HYPERLINK("https://www.elnacional.cat/oneconomia/es/sostenibilidad/arcelormittal-arrancara-su-planta-con-gas-pero-no-renuncia-perte-verde-450-millones_1183641_102.html", "source")</f>
        <v/>
      </c>
      <c r="V6">
        <f>HYPERLINK("https://corporate.arcelormittal.com/media/press-releases/arcelormittal-accelerates-its-decarbonisation-with-a-1-7-billion-investment-programme-in-france-supported-by-the-french-government#", "source")</f>
        <v/>
      </c>
      <c r="W6" t="inlineStr"/>
      <c r="X6" t="inlineStr"/>
      <c r="Y6" t="inlineStr">
        <is>
          <t>01825682-4ef3-5f46-b59f-2ea4971199fe</t>
        </is>
      </c>
    </row>
    <row r="7">
      <c r="A7" t="inlineStr">
        <is>
          <t>dillinger</t>
        </is>
      </c>
      <c r="B7" t="inlineStr">
        <is>
          <t>DE</t>
        </is>
      </c>
      <c r="C7" t="inlineStr">
        <is>
          <t>Dillingen/ Saar</t>
        </is>
      </c>
      <c r="D7" t="inlineStr">
        <is>
          <t>iron</t>
        </is>
      </c>
      <c r="E7" t="inlineStr">
        <is>
          <t>DRI</t>
        </is>
      </c>
      <c r="F7" t="n">
        <v>1</v>
      </c>
      <c r="G7" t="inlineStr">
        <is>
          <t>announced</t>
        </is>
      </c>
      <c r="H7" t="n">
        <v>2000000</v>
      </c>
      <c r="I7" t="n">
        <v>2000000</v>
      </c>
      <c r="J7" t="inlineStr"/>
      <c r="K7" t="inlineStr"/>
      <c r="L7" t="b">
        <v>0</v>
      </c>
      <c r="M7" t="inlineStr">
        <is>
          <t>2024-10</t>
        </is>
      </c>
      <c r="N7" t="inlineStr"/>
      <c r="O7" t="inlineStr"/>
      <c r="P7" t="b">
        <v>0</v>
      </c>
      <c r="Q7" t="b">
        <v>0</v>
      </c>
      <c r="R7" t="b">
        <v>0</v>
      </c>
      <c r="S7">
        <f>HYPERLINK("https://www.primetals.com/en/news/dillinger-and-rogesa-choose-primetals-technologies-as-supplier-for-major-decarbonization-project/", "source")</f>
        <v/>
      </c>
      <c r="T7">
        <f>HYPERLINK("https://www.primetals.com/en/news/dillinger-and-rogesa-choose-primetals-technologies-as-supplier-for-major-decarbonization-project/", "source")</f>
        <v/>
      </c>
      <c r="U7" t="inlineStr"/>
      <c r="V7">
        <f>HYPERLINK("https://www.primetals.com/en/news/dillinger-and-rogesa-choose-primetals-technologies-as-supplier-for-major-decarbonization-project/", "source")</f>
        <v/>
      </c>
      <c r="W7" t="inlineStr"/>
      <c r="X7" t="inlineStr"/>
      <c r="Y7" t="inlineStr">
        <is>
          <t>fd720823-42f4-5916-a56a-34993c8c1955</t>
        </is>
      </c>
    </row>
    <row r="8">
      <c r="A8" t="inlineStr">
        <is>
          <t>gravithy</t>
        </is>
      </c>
      <c r="B8" t="inlineStr">
        <is>
          <t>FR</t>
        </is>
      </c>
      <c r="C8" t="inlineStr">
        <is>
          <t>Fos-sur-Mer</t>
        </is>
      </c>
      <c r="D8" t="inlineStr">
        <is>
          <t>iron</t>
        </is>
      </c>
      <c r="E8" t="inlineStr">
        <is>
          <t>DRI</t>
        </is>
      </c>
      <c r="F8" t="n">
        <v>1</v>
      </c>
      <c r="G8" t="inlineStr">
        <is>
          <t>announced</t>
        </is>
      </c>
      <c r="H8" t="n">
        <v>2000000</v>
      </c>
      <c r="I8" t="n">
        <v>2000000</v>
      </c>
      <c r="J8" t="n">
        <v>2200000000</v>
      </c>
      <c r="K8" t="n">
        <v>2200000000</v>
      </c>
      <c r="L8" t="b">
        <v>0</v>
      </c>
      <c r="M8" t="inlineStr">
        <is>
          <t>2024-02</t>
        </is>
      </c>
      <c r="N8" t="inlineStr"/>
      <c r="O8" t="inlineStr"/>
      <c r="P8" t="b">
        <v>0</v>
      </c>
      <c r="Q8" t="b">
        <v>0</v>
      </c>
      <c r="R8" t="b">
        <v>0</v>
      </c>
      <c r="S8">
        <f>HYPERLINK("https://gmk.center/en/news/gravithy-raises-e60-million-to-breakthrough-the-decarbonization-of-the-eu-steel-industry/", "source")</f>
        <v/>
      </c>
      <c r="T8">
        <f>HYPERLINK("https://gmk.center/en/news/gravithy-raises-e60-million-to-breakthrough-the-decarbonization-of-the-eu-steel-industry/", "source")</f>
        <v/>
      </c>
      <c r="U8">
        <f>HYPERLINK("https://gmk.center/en/news/gravithy-raises-e60-million-to-breakthrough-the-decarbonization-of-the-eu-steel-industry/", "source")</f>
        <v/>
      </c>
      <c r="V8">
        <f>HYPERLINK("https://hydrogentoday.info/en/green-steel-plant-gravithy/", "source")</f>
        <v/>
      </c>
      <c r="W8" t="inlineStr"/>
      <c r="X8" t="inlineStr"/>
      <c r="Y8" t="inlineStr">
        <is>
          <t>d4fa87b8-94da-5f48-872e-2a0ca8b377aa</t>
        </is>
      </c>
    </row>
    <row r="9">
      <c r="A9" t="inlineStr">
        <is>
          <t>hydnum steel</t>
        </is>
      </c>
      <c r="B9" t="inlineStr">
        <is>
          <t>ES</t>
        </is>
      </c>
      <c r="C9" t="inlineStr">
        <is>
          <t>Puertollano</t>
        </is>
      </c>
      <c r="D9" t="inlineStr">
        <is>
          <t>iron</t>
        </is>
      </c>
      <c r="E9" t="inlineStr">
        <is>
          <t>DRI</t>
        </is>
      </c>
      <c r="F9" t="n">
        <v>1</v>
      </c>
      <c r="G9" t="inlineStr">
        <is>
          <t>announced</t>
        </is>
      </c>
      <c r="H9" t="inlineStr"/>
      <c r="I9" t="inlineStr"/>
      <c r="J9" t="n">
        <v>1650000000</v>
      </c>
      <c r="K9" t="n">
        <v>1650000000</v>
      </c>
      <c r="L9" t="b">
        <v>0</v>
      </c>
      <c r="M9" t="inlineStr">
        <is>
          <t>2024-07</t>
        </is>
      </c>
      <c r="N9" t="inlineStr"/>
      <c r="O9" t="inlineStr"/>
      <c r="P9" t="b">
        <v>0</v>
      </c>
      <c r="Q9" t="b">
        <v>0</v>
      </c>
      <c r="R9" t="b">
        <v>0</v>
      </c>
      <c r="S9">
        <f>HYPERLINK("https://gmk.center/en/news/hydnum-steel-will-build-the-first-green-steel-plant-in-spain/", "source")</f>
        <v/>
      </c>
      <c r="T9" t="inlineStr"/>
      <c r="U9">
        <f>HYPERLINK("https://gmk.center/en/news/hydnum-steel-will-build-the-first-green-steel-plant-in-spain/", "source")</f>
        <v/>
      </c>
      <c r="V9">
        <f>HYPERLINK("https://gmk.center/en/news/hydnum-steel-will-build-the-first-green-steel-plant-in-spain/", "source")</f>
        <v/>
      </c>
      <c r="W9" t="inlineStr"/>
      <c r="X9" t="inlineStr"/>
      <c r="Y9" t="inlineStr">
        <is>
          <t>e5b980be-b8b3-5449-b452-695930fd8383</t>
        </is>
      </c>
    </row>
    <row r="10">
      <c r="A10" t="inlineStr">
        <is>
          <t>liberty steel group</t>
        </is>
      </c>
      <c r="B10" t="inlineStr">
        <is>
          <t>FR</t>
        </is>
      </c>
      <c r="C10" t="inlineStr">
        <is>
          <t>Dunkerque</t>
        </is>
      </c>
      <c r="D10" t="inlineStr">
        <is>
          <t>iron</t>
        </is>
      </c>
      <c r="E10" t="inlineStr">
        <is>
          <t>DRI</t>
        </is>
      </c>
      <c r="F10" t="n">
        <v>1</v>
      </c>
      <c r="G10" t="inlineStr">
        <is>
          <t>announced</t>
        </is>
      </c>
      <c r="H10" t="n">
        <v>2000000</v>
      </c>
      <c r="I10" t="n">
        <v>2000000</v>
      </c>
      <c r="J10" t="inlineStr"/>
      <c r="K10" t="inlineStr"/>
      <c r="L10" t="b">
        <v>0</v>
      </c>
      <c r="M10" t="inlineStr">
        <is>
          <t>2021-02</t>
        </is>
      </c>
      <c r="N10" t="inlineStr"/>
      <c r="O10" t="inlineStr"/>
      <c r="P10" t="b">
        <v>0</v>
      </c>
      <c r="Q10" t="b">
        <v>0</v>
      </c>
      <c r="R10" t="b">
        <v>0</v>
      </c>
      <c r="S10">
        <f>HYPERLINK("https://libertysteelgroup.com/liberty-develop-hydrogen-steel-making-plant/", "source")</f>
        <v/>
      </c>
      <c r="T10">
        <f>HYPERLINK("https://libertysteelgroup.com/liberty-develop-hydrogen-steel-making-plant/", "source")</f>
        <v/>
      </c>
      <c r="U10" t="inlineStr"/>
      <c r="V10">
        <f>HYPERLINK("https://libertysteelgroup.com/liberty-develop-hydrogen-steel-making-plant/", "source")</f>
        <v/>
      </c>
      <c r="W10" t="inlineStr"/>
      <c r="X10" t="inlineStr"/>
      <c r="Y10" t="inlineStr">
        <is>
          <t>69dc9a47-8935-56f2-8325-7191d800e9e7</t>
        </is>
      </c>
    </row>
    <row r="11">
      <c r="A11" t="inlineStr">
        <is>
          <t>liberty steel group</t>
        </is>
      </c>
      <c r="B11" t="inlineStr">
        <is>
          <t>RO</t>
        </is>
      </c>
      <c r="C11" t="inlineStr">
        <is>
          <t>Galați County</t>
        </is>
      </c>
      <c r="D11" t="inlineStr">
        <is>
          <t>iron</t>
        </is>
      </c>
      <c r="E11" t="inlineStr">
        <is>
          <t>DRI</t>
        </is>
      </c>
      <c r="F11" t="n">
        <v>1</v>
      </c>
      <c r="G11" t="inlineStr">
        <is>
          <t>announced</t>
        </is>
      </c>
      <c r="H11" t="n">
        <v>2500000</v>
      </c>
      <c r="I11" t="n">
        <v>2500000</v>
      </c>
      <c r="J11" t="inlineStr"/>
      <c r="K11" t="inlineStr"/>
      <c r="L11" t="b">
        <v>0</v>
      </c>
      <c r="M11" t="inlineStr">
        <is>
          <t>2020-06</t>
        </is>
      </c>
      <c r="N11" t="inlineStr"/>
      <c r="O11" t="inlineStr"/>
      <c r="P11" t="b">
        <v>0</v>
      </c>
      <c r="Q11" t="b">
        <v>0</v>
      </c>
      <c r="R11" t="b">
        <v>0</v>
      </c>
      <c r="S11">
        <f>HYPERLINK("https://libertysteelgroup.com/news/gfg-alliance-signs-mou-with-romanian-government-to-create-a-european-greensteel-flagship-at-liberty-galati/", "source")</f>
        <v/>
      </c>
      <c r="T11">
        <f>HYPERLINK("https://libertysteelgroup.com/news/gfg-alliance-signs-mou-with-romanian-government-to-create-a-european-greensteel-flagship-at-liberty-galati/", "source")</f>
        <v/>
      </c>
      <c r="U11" t="inlineStr"/>
      <c r="V11">
        <f>HYPERLINK("https://libertysteelgroup.com/news/gfg-alliance-signs-mou-with-romanian-government-to-create-a-european-greensteel-flagship-at-liberty-galati/", "source")</f>
        <v/>
      </c>
      <c r="W11" t="inlineStr"/>
      <c r="X11" t="inlineStr"/>
      <c r="Y11" t="inlineStr">
        <is>
          <t>591fa78a-222e-592c-98bf-227b409705c2</t>
        </is>
      </c>
    </row>
    <row r="12">
      <c r="A12" t="inlineStr">
        <is>
          <t>lkab</t>
        </is>
      </c>
      <c r="B12" t="inlineStr">
        <is>
          <t>SE</t>
        </is>
      </c>
      <c r="C12" t="inlineStr">
        <is>
          <t>Gällivare Municipality</t>
        </is>
      </c>
      <c r="D12" t="inlineStr">
        <is>
          <t>iron</t>
        </is>
      </c>
      <c r="E12" t="inlineStr">
        <is>
          <t>DRI</t>
        </is>
      </c>
      <c r="F12" t="n">
        <v>1</v>
      </c>
      <c r="G12" t="inlineStr">
        <is>
          <t>announced</t>
        </is>
      </c>
      <c r="H12" t="n">
        <v>1350000</v>
      </c>
      <c r="I12" t="n">
        <v>1350000</v>
      </c>
      <c r="J12" t="inlineStr"/>
      <c r="K12" t="inlineStr"/>
      <c r="L12" t="b">
        <v>0</v>
      </c>
      <c r="M12" t="inlineStr">
        <is>
          <t>2024-04</t>
        </is>
      </c>
      <c r="N12" t="inlineStr"/>
      <c r="O12" t="inlineStr"/>
      <c r="P12" t="b">
        <v>0</v>
      </c>
      <c r="Q12" t="b">
        <v>0</v>
      </c>
      <c r="R12" t="b">
        <v>0</v>
      </c>
      <c r="S12">
        <f>HYPERLINK("https://www.energimyndigheten.se/en/news/2023/hybrit-is-granted-sek-3.1-billion/", "source")</f>
        <v/>
      </c>
      <c r="T12">
        <f>HYPERLINK("https://www.energimyndigheten.se/en/news/2023/hybrit-is-granted-sek-3.1-billion/", "source")</f>
        <v/>
      </c>
      <c r="U12" t="inlineStr"/>
      <c r="V12">
        <f>HYPERLINK("https://www.energimyndigheten.se/en/news/2023/hybrit-is-granted-sek-3.1-billion/", "source")</f>
        <v/>
      </c>
      <c r="W12" t="inlineStr"/>
      <c r="X12" t="inlineStr"/>
      <c r="Y12" t="inlineStr">
        <is>
          <t>909385f6-472c-5b23-8f23-24d91e9929bd</t>
        </is>
      </c>
    </row>
    <row r="13">
      <c r="A13" t="inlineStr">
        <is>
          <t>saarstahl</t>
        </is>
      </c>
      <c r="B13" t="inlineStr">
        <is>
          <t>DE</t>
        </is>
      </c>
      <c r="C13" t="inlineStr">
        <is>
          <t>Dillingen/ Saar</t>
        </is>
      </c>
      <c r="D13" t="inlineStr">
        <is>
          <t>iron</t>
        </is>
      </c>
      <c r="E13" t="inlineStr">
        <is>
          <t>DRI</t>
        </is>
      </c>
      <c r="F13" t="n">
        <v>1</v>
      </c>
      <c r="G13" t="inlineStr">
        <is>
          <t>announced</t>
        </is>
      </c>
      <c r="H13" t="inlineStr"/>
      <c r="I13" t="inlineStr"/>
      <c r="J13" t="n">
        <v>3500000000</v>
      </c>
      <c r="K13" t="n">
        <v>3500000000</v>
      </c>
      <c r="L13" t="b">
        <v>0</v>
      </c>
      <c r="M13" t="inlineStr">
        <is>
          <t>2023-06</t>
        </is>
      </c>
      <c r="N13" t="inlineStr"/>
      <c r="O13" t="inlineStr"/>
      <c r="P13" t="b">
        <v>0</v>
      </c>
      <c r="Q13" t="b">
        <v>0</v>
      </c>
      <c r="R13" t="b">
        <v>0</v>
      </c>
      <c r="S13">
        <f>HYPERLINK("https://web.archive.org/web/20230628070039/https://www.pure-steel.com/en/our-path-to-green-steel/", "source")</f>
        <v/>
      </c>
      <c r="T13" t="inlineStr"/>
      <c r="U13">
        <f>HYPERLINK("https://web.archive.org/web/20230628070039/https://www.pure-steel.com/en/our-path-to-green-steel/", "source")</f>
        <v/>
      </c>
      <c r="V13">
        <f>HYPERLINK("https://web.archive.org/web/20230628070039/https://www.pure-steel.com/en/our-path-to-green-steel/", "source")</f>
        <v/>
      </c>
      <c r="W13" t="inlineStr"/>
      <c r="X13" t="inlineStr"/>
      <c r="Y13" t="inlineStr">
        <is>
          <t>9771bc5c-6d00-5e71-9b77-c36f1661dee7</t>
        </is>
      </c>
    </row>
    <row r="14">
      <c r="A14" t="inlineStr">
        <is>
          <t>saarstahl</t>
        </is>
      </c>
      <c r="B14" t="inlineStr">
        <is>
          <t>DE</t>
        </is>
      </c>
      <c r="C14" t="inlineStr">
        <is>
          <t>Völklingen</t>
        </is>
      </c>
      <c r="D14" t="inlineStr">
        <is>
          <t>iron</t>
        </is>
      </c>
      <c r="E14" t="inlineStr">
        <is>
          <t>DRI</t>
        </is>
      </c>
      <c r="F14" t="n">
        <v>1</v>
      </c>
      <c r="G14" t="inlineStr">
        <is>
          <t>announced</t>
        </is>
      </c>
      <c r="H14" t="inlineStr"/>
      <c r="I14" t="inlineStr"/>
      <c r="J14" t="n">
        <v>3500000000</v>
      </c>
      <c r="K14" t="n">
        <v>3500000000</v>
      </c>
      <c r="L14" t="b">
        <v>0</v>
      </c>
      <c r="M14" t="inlineStr">
        <is>
          <t>2023-06</t>
        </is>
      </c>
      <c r="N14" t="inlineStr"/>
      <c r="O14" t="inlineStr"/>
      <c r="P14" t="b">
        <v>0</v>
      </c>
      <c r="Q14" t="b">
        <v>0</v>
      </c>
      <c r="R14" t="b">
        <v>0</v>
      </c>
      <c r="S14">
        <f>HYPERLINK("https://web.archive.org/web/20230628070039/https://www.pure-steel.com/en/our-path-to-green-steel/", "source")</f>
        <v/>
      </c>
      <c r="T14" t="inlineStr"/>
      <c r="U14">
        <f>HYPERLINK("https://web.archive.org/web/20230628070039/https://www.pure-steel.com/en/our-path-to-green-steel/", "source")</f>
        <v/>
      </c>
      <c r="V14">
        <f>HYPERLINK("https://web.archive.org/web/20230628070039/https://www.pure-steel.com/en/our-path-to-green-steel/", "source")</f>
        <v/>
      </c>
      <c r="W14" t="inlineStr"/>
      <c r="X14" t="inlineStr"/>
      <c r="Y14" t="inlineStr">
        <is>
          <t>c73adaf2-59ac-5c10-841f-f7f138f710d9</t>
        </is>
      </c>
    </row>
    <row r="15">
      <c r="A15" t="inlineStr">
        <is>
          <t>salzgitter</t>
        </is>
      </c>
      <c r="B15" t="inlineStr">
        <is>
          <t>DE</t>
        </is>
      </c>
      <c r="C15" t="inlineStr">
        <is>
          <t>Salzgitter</t>
        </is>
      </c>
      <c r="D15" t="inlineStr">
        <is>
          <t>iron</t>
        </is>
      </c>
      <c r="E15" t="inlineStr">
        <is>
          <t>DRI</t>
        </is>
      </c>
      <c r="F15" t="n">
        <v>1</v>
      </c>
      <c r="G15" t="inlineStr">
        <is>
          <t>under construction</t>
        </is>
      </c>
      <c r="H15" t="n">
        <v>912500</v>
      </c>
      <c r="I15" t="n">
        <v>912500</v>
      </c>
      <c r="J15" t="n">
        <v>13600000</v>
      </c>
      <c r="K15" t="n">
        <v>13600000</v>
      </c>
      <c r="L15" t="b">
        <v>0</v>
      </c>
      <c r="M15" t="inlineStr">
        <is>
          <t>2021-05</t>
        </is>
      </c>
      <c r="N15" t="inlineStr">
        <is>
          <t>2021-05</t>
        </is>
      </c>
      <c r="O15" t="inlineStr">
        <is>
          <t>2024-05</t>
        </is>
      </c>
      <c r="P15" t="b">
        <v>0</v>
      </c>
      <c r="Q15" t="b">
        <v>0</v>
      </c>
      <c r="R15" t="b">
        <v>1</v>
      </c>
      <c r="S15">
        <f>HYPERLINK("https://hydrogen-central.com/salzgitter-steel-production-hydrogen-natural-gas/", "source")</f>
        <v/>
      </c>
      <c r="T15">
        <f>HYPERLINK("https://hydrogen-central.com/salzgitter-steel-production-hydrogen-natural-gas/", "source")</f>
        <v/>
      </c>
      <c r="U15">
        <f>HYPERLINK("https://hydrogen-central.com/salzgitter-steel-production-hydrogen-natural-gas/", "source")</f>
        <v/>
      </c>
      <c r="V15">
        <f>HYPERLINK("https://hydrogen-central.com/salzgitter-steel-production-hydrogen-natural-gas/", "source")</f>
        <v/>
      </c>
      <c r="W15">
        <f>HYPERLINK("https://hydrogen-central.com/salzgitter-steel-production-hydrogen-natural-gas/", "source")</f>
        <v/>
      </c>
      <c r="X15" t="inlineStr"/>
      <c r="Y15" t="inlineStr">
        <is>
          <t>61d8da11-dbc8-5682-928d-ca98e816aeb1</t>
        </is>
      </c>
    </row>
    <row r="16">
      <c r="A16" t="inlineStr">
        <is>
          <t>salzgitter</t>
        </is>
      </c>
      <c r="B16" t="inlineStr">
        <is>
          <t>DE</t>
        </is>
      </c>
      <c r="C16" t="inlineStr">
        <is>
          <t>Wilhelmshaven</t>
        </is>
      </c>
      <c r="D16" t="inlineStr">
        <is>
          <t>iron</t>
        </is>
      </c>
      <c r="E16" t="inlineStr">
        <is>
          <t>DRI</t>
        </is>
      </c>
      <c r="F16" t="n">
        <v>1</v>
      </c>
      <c r="G16" t="inlineStr">
        <is>
          <t>announced</t>
        </is>
      </c>
      <c r="H16" t="n">
        <v>2000000</v>
      </c>
      <c r="I16" t="n">
        <v>2000000</v>
      </c>
      <c r="J16" t="inlineStr"/>
      <c r="K16" t="inlineStr"/>
      <c r="L16" t="b">
        <v>0</v>
      </c>
      <c r="M16" t="inlineStr">
        <is>
          <t>2020-06</t>
        </is>
      </c>
      <c r="N16" t="inlineStr"/>
      <c r="O16" t="inlineStr"/>
      <c r="P16" t="b">
        <v>0</v>
      </c>
      <c r="Q16" t="b">
        <v>0</v>
      </c>
      <c r="R16" t="b">
        <v>0</v>
      </c>
      <c r="S16">
        <f>HYPERLINK("https://www.recyclingtoday.com/news/salzgitter-direct-reduced-iron-steel-germany/", "source")</f>
        <v/>
      </c>
      <c r="T16">
        <f>HYPERLINK("https://www.recyclingtoday.com/news/salzgitter-direct-reduced-iron-steel-germany/", "source")</f>
        <v/>
      </c>
      <c r="U16" t="inlineStr"/>
      <c r="V16">
        <f>HYPERLINK("https://www.recyclingtoday.com/news/salzgitter-direct-reduced-iron-steel-germany/", "source")</f>
        <v/>
      </c>
      <c r="W16" t="inlineStr"/>
      <c r="X16" t="inlineStr"/>
      <c r="Y16" t="inlineStr">
        <is>
          <t>13dc3f44-f9bb-5968-a1e2-8097ec8d1091</t>
        </is>
      </c>
    </row>
    <row r="17">
      <c r="A17" t="inlineStr">
        <is>
          <t>ssab</t>
        </is>
      </c>
      <c r="B17" t="inlineStr">
        <is>
          <t>SE</t>
        </is>
      </c>
      <c r="C17" t="inlineStr">
        <is>
          <t>Gällivare Municipality</t>
        </is>
      </c>
      <c r="D17" t="inlineStr">
        <is>
          <t>iron</t>
        </is>
      </c>
      <c r="E17" t="inlineStr">
        <is>
          <t>DRI</t>
        </is>
      </c>
      <c r="F17" t="n">
        <v>1</v>
      </c>
      <c r="G17" t="inlineStr">
        <is>
          <t>announced</t>
        </is>
      </c>
      <c r="H17" t="n">
        <v>1350000</v>
      </c>
      <c r="I17" t="n">
        <v>1350000</v>
      </c>
      <c r="J17" t="inlineStr"/>
      <c r="K17" t="inlineStr"/>
      <c r="L17" t="b">
        <v>0</v>
      </c>
      <c r="M17" t="inlineStr">
        <is>
          <t>2021-03</t>
        </is>
      </c>
      <c r="N17" t="inlineStr"/>
      <c r="O17" t="inlineStr"/>
      <c r="P17" t="b">
        <v>0</v>
      </c>
      <c r="Q17" t="b">
        <v>0</v>
      </c>
      <c r="R17" t="b">
        <v>0</v>
      </c>
      <c r="S17">
        <f>HYPERLINK("https://www.ssab.com/en/news/2022/04/hybrit-receives-support-from-the-eu-innovation-fund", "source")</f>
        <v/>
      </c>
      <c r="T17">
        <f>HYPERLINK("https://www.ssab.com/en/news/2022/04/hybrit-receives-support-from-the-eu-innovation-fund", "source")</f>
        <v/>
      </c>
      <c r="U17" t="inlineStr"/>
      <c r="V17">
        <f>HYPERLINK("https://www.ssab.com/en/news/2021/03/hybrit-ssab-lkab-and-vattenfall-to-begin-industrialization-of-future-fossilfree-steelmaking-by-estab", "source")</f>
        <v/>
      </c>
      <c r="W17" t="inlineStr"/>
      <c r="X17" t="inlineStr"/>
      <c r="Y17" t="inlineStr">
        <is>
          <t>d8959614-bfa2-5ca7-ae58-12e082fed0fe</t>
        </is>
      </c>
    </row>
    <row r="18">
      <c r="A18" t="inlineStr">
        <is>
          <t>ssab</t>
        </is>
      </c>
      <c r="B18" t="inlineStr">
        <is>
          <t>SE</t>
        </is>
      </c>
      <c r="C18" t="inlineStr">
        <is>
          <t>Gällivare Municipality</t>
        </is>
      </c>
      <c r="D18" t="inlineStr">
        <is>
          <t>iron</t>
        </is>
      </c>
      <c r="E18" t="inlineStr">
        <is>
          <t>DRI</t>
        </is>
      </c>
      <c r="F18" t="n">
        <v>2</v>
      </c>
      <c r="G18" t="inlineStr">
        <is>
          <t>announced</t>
        </is>
      </c>
      <c r="H18" t="n">
        <v>1350000</v>
      </c>
      <c r="I18" t="n">
        <v>2700000</v>
      </c>
      <c r="J18" t="inlineStr"/>
      <c r="K18" t="inlineStr"/>
      <c r="L18" t="b">
        <v>0</v>
      </c>
      <c r="M18" t="inlineStr">
        <is>
          <t>2021-03</t>
        </is>
      </c>
      <c r="N18" t="inlineStr"/>
      <c r="O18" t="inlineStr"/>
      <c r="P18" t="b">
        <v>0</v>
      </c>
      <c r="Q18" t="b">
        <v>0</v>
      </c>
      <c r="R18" t="b">
        <v>0</v>
      </c>
      <c r="S18">
        <f>HYPERLINK("https://www.ssab.com/en/news/2021/03/hybrit-ssab-lkab-and-vattenfall-to-begin-industrialization-of-future-fossilfree-steelmaking-by-estab", "source")</f>
        <v/>
      </c>
      <c r="T18">
        <f>HYPERLINK("https://www.ssab.com/en/news/2021/03/hybrit-ssab-lkab-and-vattenfall-to-begin-industrialization-of-future-fossilfree-steelmaking-by-estab", "source")</f>
        <v/>
      </c>
      <c r="U18" t="inlineStr"/>
      <c r="V18">
        <f>HYPERLINK("https://www.ssab.com/en/news/2021/03/hybrit-ssab-lkab-and-vattenfall-to-begin-industrialization-of-future-fossilfree-steelmaking-by-estab", "source")</f>
        <v/>
      </c>
      <c r="W18" t="inlineStr"/>
      <c r="X18" t="inlineStr"/>
      <c r="Y18" t="inlineStr">
        <is>
          <t>d8959614-bfa2-5ca7-ae58-12e082fed0fe</t>
        </is>
      </c>
    </row>
    <row r="19">
      <c r="A19" t="inlineStr">
        <is>
          <t>stegra</t>
        </is>
      </c>
      <c r="B19" t="inlineStr">
        <is>
          <t>SE</t>
        </is>
      </c>
      <c r="C19" t="inlineStr">
        <is>
          <t>Boden Municipality</t>
        </is>
      </c>
      <c r="D19" t="inlineStr">
        <is>
          <t>iron</t>
        </is>
      </c>
      <c r="E19" t="inlineStr">
        <is>
          <t>DRI</t>
        </is>
      </c>
      <c r="F19" t="n">
        <v>1</v>
      </c>
      <c r="G19" t="inlineStr">
        <is>
          <t>under construction</t>
        </is>
      </c>
      <c r="H19" t="n">
        <v>2100000</v>
      </c>
      <c r="I19" t="n">
        <v>2100000</v>
      </c>
      <c r="J19" t="n">
        <v>6500000000</v>
      </c>
      <c r="K19" t="n">
        <v>6500000000</v>
      </c>
      <c r="L19" t="b">
        <v>0</v>
      </c>
      <c r="M19" t="inlineStr">
        <is>
          <t>2024-09</t>
        </is>
      </c>
      <c r="N19" t="inlineStr">
        <is>
          <t>2025-11</t>
        </is>
      </c>
      <c r="O19" t="inlineStr">
        <is>
          <t>2028-11</t>
        </is>
      </c>
      <c r="P19" t="b">
        <v>0</v>
      </c>
      <c r="Q19" t="b">
        <v>0</v>
      </c>
      <c r="R19" t="b">
        <v>1</v>
      </c>
      <c r="S19">
        <f>HYPERLINK("https://buildcleannow.missionpossiblepartnership.org/bright-spot/stegra/#:~:text=Table_title:%20Stegra%20Table_content:%20header:%20%7C%20%7C%20KEY,%E2%80%A2%20Production%20start%20targeted%20for%202026%20%7C", "source")</f>
        <v/>
      </c>
      <c r="T19">
        <f>HYPERLINK("https://buildcleannow.missionpossiblepartnership.org/bright-spot/stegra/#:~:text=Table_title:%20Stegra%20Table_content:%20header:%20%7C%20%7C%20KEY,%E2%80%A2%20Production%20start%20targeted%20for%202026%20%7C", "source")</f>
        <v/>
      </c>
      <c r="U19">
        <f>HYPERLINK("https://www.h2-view.com/story/stegra-secures-e37m-grant-but-funding-gap-remains-for-green-steel-plant/2135302.article/", "source")</f>
        <v/>
      </c>
      <c r="V19">
        <f>HYPERLINK("https://stegra.com/news-and-stories/h2-green-steel-is-now-stegra", "source")</f>
        <v/>
      </c>
      <c r="W19">
        <f>HYPERLINK("https://www.h2-view.com/story/stegra-secures-e37m-grant-but-funding-gap-remains-for-green-steel-plant/2135302.article/", "source")</f>
        <v/>
      </c>
      <c r="X19" t="inlineStr"/>
      <c r="Y19" t="inlineStr">
        <is>
          <t>13a3a2ca-0bb8-5654-b758-e3abfc303ada</t>
        </is>
      </c>
    </row>
    <row r="20">
      <c r="A20" t="inlineStr">
        <is>
          <t>thyssenkrupp</t>
        </is>
      </c>
      <c r="B20" t="inlineStr">
        <is>
          <t>DE</t>
        </is>
      </c>
      <c r="C20" t="inlineStr">
        <is>
          <t>Duisburg</t>
        </is>
      </c>
      <c r="D20" t="inlineStr">
        <is>
          <t>iron</t>
        </is>
      </c>
      <c r="E20" t="inlineStr">
        <is>
          <t>DRI</t>
        </is>
      </c>
      <c r="F20" t="n">
        <v>1</v>
      </c>
      <c r="G20" t="inlineStr">
        <is>
          <t>announced</t>
        </is>
      </c>
      <c r="H20" t="n">
        <v>2500000</v>
      </c>
      <c r="I20" t="n">
        <v>2500000</v>
      </c>
      <c r="J20" t="n">
        <v>2000000000</v>
      </c>
      <c r="K20" t="n">
        <v>2000000000</v>
      </c>
      <c r="L20" t="b">
        <v>0</v>
      </c>
      <c r="M20" t="inlineStr">
        <is>
          <t>2022-09</t>
        </is>
      </c>
      <c r="N20" t="inlineStr"/>
      <c r="O20" t="inlineStr"/>
      <c r="P20" t="b">
        <v>0</v>
      </c>
      <c r="Q20" t="b">
        <v>0</v>
      </c>
      <c r="R20" t="b">
        <v>0</v>
      </c>
      <c r="S20">
        <f>HYPERLINK("https://www.thyssenkrupp.com/en/newsroom/press-releases/pressdetailpage/thyssenkrupp-steel-is-intensively-pushing-ahead-with-developing-the-hydrogen-economy:-call-for-tenders-for-supplying-hydrogen-to-the-first-direct-reduction-plant-at-the-duisburg-location-251160", "source")</f>
        <v/>
      </c>
      <c r="T20">
        <f>HYPERLINK("https://www.thyssenkrupp.com/en/newsroom/press-releases/pressdetailpage/thyssenkrupp-steel-is-intensively-pushing-ahead-with-developing-the-hydrogen-economy:-call-for-tenders-for-supplying-hydrogen-to-the-first-direct-reduction-plant-at-the-duisburg-location-251160", "source")</f>
        <v/>
      </c>
      <c r="U20">
        <f>HYPERLINK("https://web.archive.org/web/20250914165717/https://www.greencarcongress.com/2022/09/20220909-thyssenkrupp.html", "source")</f>
        <v/>
      </c>
      <c r="V20">
        <f>HYPERLINK("https://web.archive.org/web/20250914165717/https://www.greencarcongress.com/2022/09/20220909-thyssenkrupp.html", "source")</f>
        <v/>
      </c>
      <c r="W20" t="inlineStr"/>
      <c r="X20" t="inlineStr"/>
      <c r="Y20" t="inlineStr">
        <is>
          <t>d7309e9e-ff60-5ab4-94eb-e76940bbe633</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8"/>
  <sheetViews>
    <sheetView workbookViewId="0">
      <selection activeCell="A1" sqref="A1"/>
    </sheetView>
  </sheetViews>
  <sheetFormatPr baseColWidth="10" defaultColWidth="8.83203125" defaultRowHeight="15"/>
  <sheetData>
    <row r="1">
      <c r="A1" s="1" t="inlineStr">
        <is>
          <t>owner</t>
        </is>
      </c>
      <c r="B1" s="1" t="inlineStr">
        <is>
          <t>country</t>
        </is>
      </c>
      <c r="C1" s="1" t="inlineStr">
        <is>
          <t>region</t>
        </is>
      </c>
      <c r="D1" s="1" t="inlineStr">
        <is>
          <t>product_lv1</t>
        </is>
      </c>
      <c r="E1" s="1" t="inlineStr">
        <is>
          <t>product_lv2</t>
        </is>
      </c>
      <c r="F1" s="1" t="inlineStr">
        <is>
          <t>phase</t>
        </is>
      </c>
      <c r="G1" s="1" t="inlineStr">
        <is>
          <t>status</t>
        </is>
      </c>
      <c r="H1" s="1" t="inlineStr">
        <is>
          <t>phase_capacity</t>
        </is>
      </c>
      <c r="I1" s="1" t="inlineStr">
        <is>
          <t>capacity_cumulative</t>
        </is>
      </c>
      <c r="J1" s="1" t="inlineStr">
        <is>
          <t>phase_investment</t>
        </is>
      </c>
      <c r="K1" s="1" t="inlineStr">
        <is>
          <t>investment_cumulative</t>
        </is>
      </c>
      <c r="L1" s="1" t="inlineStr">
        <is>
          <t>investment_was_imputed</t>
        </is>
      </c>
      <c r="M1" s="1" t="inlineStr">
        <is>
          <t>announced_on</t>
        </is>
      </c>
      <c r="N1" s="1" t="inlineStr">
        <is>
          <t>under_construction_on</t>
        </is>
      </c>
      <c r="O1" s="1" t="inlineStr">
        <is>
          <t>operational_on</t>
        </is>
      </c>
      <c r="P1" s="1" t="inlineStr">
        <is>
          <t>status_url</t>
        </is>
      </c>
      <c r="Q1" s="1" t="inlineStr">
        <is>
          <t>capacity_url</t>
        </is>
      </c>
      <c r="R1" s="1" t="inlineStr">
        <is>
          <t>investment_url</t>
        </is>
      </c>
      <c r="S1" s="1" t="inlineStr">
        <is>
          <t>announced_url</t>
        </is>
      </c>
      <c r="T1" s="1" t="inlineStr">
        <is>
          <t>under_construction_url</t>
        </is>
      </c>
      <c r="U1" s="1" t="inlineStr">
        <is>
          <t>operational_url</t>
        </is>
      </c>
      <c r="V1" s="1" t="inlineStr">
        <is>
          <t>project_id</t>
        </is>
      </c>
    </row>
    <row r="2">
      <c r="A2" t="inlineStr">
        <is>
          <t>ailes marines</t>
        </is>
      </c>
      <c r="B2" t="inlineStr">
        <is>
          <t>FR</t>
        </is>
      </c>
      <c r="C2" t="inlineStr">
        <is>
          <t>Brest</t>
        </is>
      </c>
      <c r="D2" t="inlineStr">
        <is>
          <t>wind</t>
        </is>
      </c>
      <c r="E2" t="inlineStr">
        <is>
          <t>tower</t>
        </is>
      </c>
      <c r="F2" t="n">
        <v>1</v>
      </c>
      <c r="G2" t="inlineStr">
        <is>
          <t>announced</t>
        </is>
      </c>
      <c r="J2" t="n">
        <v>11800000</v>
      </c>
      <c r="K2" t="n">
        <v>11800000</v>
      </c>
      <c r="L2" t="b">
        <v>0</v>
      </c>
      <c r="M2" t="inlineStr">
        <is>
          <t>2021-03</t>
        </is>
      </c>
      <c r="P2" t="inlineStr">
        <is>
          <t>https://renews.biz/67505/saint-brieuc-picks-port-of-brest-for-tower-assembly/</t>
        </is>
      </c>
      <c r="R2" t="inlineStr">
        <is>
          <t>https://renews.biz/67505/saint-brieuc-picks-port-of-brest-for-tower-assembly/</t>
        </is>
      </c>
      <c r="S2" t="inlineStr">
        <is>
          <t>https://renews.biz/67505/saint-brieuc-picks-port-of-brest-for-tower-assembly/</t>
        </is>
      </c>
      <c r="V2" t="inlineStr">
        <is>
          <t>f6619973-89a5-50ea-8527-4b33679fa389</t>
        </is>
      </c>
    </row>
    <row r="3">
      <c r="A3" t="inlineStr">
        <is>
          <t>alandsbanken wind power special investment fund</t>
        </is>
      </c>
      <c r="B3" t="inlineStr">
        <is>
          <t>FI</t>
        </is>
      </c>
      <c r="C3" t="inlineStr">
        <is>
          <t>North Ostrobothnia</t>
        </is>
      </c>
      <c r="D3" t="inlineStr">
        <is>
          <t>wind</t>
        </is>
      </c>
      <c r="E3" t="inlineStr">
        <is>
          <t>turbine</t>
        </is>
      </c>
      <c r="F3" t="n">
        <v>1</v>
      </c>
      <c r="G3" t="inlineStr">
        <is>
          <t>operational</t>
        </is>
      </c>
      <c r="H3" t="n">
        <v>0.04</v>
      </c>
      <c r="I3" t="n">
        <v>0.04</v>
      </c>
      <c r="L3" t="b">
        <v>0</v>
      </c>
      <c r="M3" t="inlineStr">
        <is>
          <t>2019-11</t>
        </is>
      </c>
      <c r="N3" t="inlineStr">
        <is>
          <t>2019-11</t>
        </is>
      </c>
      <c r="O3" t="inlineStr">
        <is>
          <t>2022-11</t>
        </is>
      </c>
      <c r="P3" t="inlineStr">
        <is>
          <t>https://renews.biz/81542/finnish-wind-farm-starts-operations/</t>
        </is>
      </c>
      <c r="Q3" t="inlineStr">
        <is>
          <t>https://renews.biz/81542/finnish-wind-farm-starts-operations/</t>
        </is>
      </c>
      <c r="U3" t="inlineStr">
        <is>
          <t>https://renews.biz/81542/finnish-wind-farm-starts-operations/</t>
        </is>
      </c>
      <c r="V3" t="inlineStr">
        <is>
          <t>15f2a7c9-5db9-50b2-b359-74d678e02c4c</t>
        </is>
      </c>
    </row>
    <row r="4">
      <c r="A4" t="inlineStr">
        <is>
          <t>banks renewables limited</t>
        </is>
      </c>
      <c r="B4" t="inlineStr">
        <is>
          <t>GB</t>
        </is>
      </c>
      <c r="C4" t="inlineStr">
        <is>
          <t>South Lanarkshire</t>
        </is>
      </c>
      <c r="D4" t="inlineStr">
        <is>
          <t>wind</t>
        </is>
      </c>
      <c r="E4" t="inlineStr">
        <is>
          <t>turbine</t>
        </is>
      </c>
      <c r="F4" t="n">
        <v>1</v>
      </c>
      <c r="G4" t="inlineStr">
        <is>
          <t>under construction</t>
        </is>
      </c>
      <c r="H4" t="n">
        <v>0.06720000000000001</v>
      </c>
      <c r="I4" t="n">
        <v>0.06720000000000001</v>
      </c>
      <c r="L4" t="b">
        <v>0</v>
      </c>
      <c r="M4" t="inlineStr">
        <is>
          <t>2021-02</t>
        </is>
      </c>
      <c r="N4" t="inlineStr">
        <is>
          <t>2021-02</t>
        </is>
      </c>
      <c r="O4" t="inlineStr">
        <is>
          <t>2024-02</t>
        </is>
      </c>
      <c r="P4" t="inlineStr">
        <is>
          <t>https://renews.biz/66686/greencoat-buys-72mw-scottish-farm-outright/</t>
        </is>
      </c>
      <c r="Q4" t="inlineStr">
        <is>
          <t>https://renews.biz/66686/greencoat-buys-72mw-scottish-farm-outright/</t>
        </is>
      </c>
      <c r="S4" t="inlineStr">
        <is>
          <t>https://renews.biz/66686/greencoat-buys-72mw-scottish-farm-outright/</t>
        </is>
      </c>
      <c r="T4" t="inlineStr">
        <is>
          <t>https://renews.biz/66686/greencoat-buys-72mw-scottish-farm-outright/</t>
        </is>
      </c>
      <c r="V4" t="inlineStr">
        <is>
          <t>97e59091-e253-5b8d-b25b-d1670cf9770e</t>
        </is>
      </c>
    </row>
    <row r="5">
      <c r="A5" t="inlineStr">
        <is>
          <t>brattmyrliden vind</t>
        </is>
      </c>
      <c r="B5" t="inlineStr">
        <is>
          <t>SE</t>
        </is>
      </c>
      <c r="C5" t="inlineStr">
        <is>
          <t>Örnsköldsviks Kommun</t>
        </is>
      </c>
      <c r="D5" t="inlineStr">
        <is>
          <t>wind</t>
        </is>
      </c>
      <c r="E5" t="inlineStr">
        <is>
          <t>turbine</t>
        </is>
      </c>
      <c r="F5" t="n">
        <v>1</v>
      </c>
      <c r="G5" t="inlineStr">
        <is>
          <t>operational</t>
        </is>
      </c>
      <c r="H5" t="n">
        <v>0.0741</v>
      </c>
      <c r="I5" t="n">
        <v>0.0741</v>
      </c>
      <c r="L5" t="b">
        <v>0</v>
      </c>
      <c r="M5" t="inlineStr">
        <is>
          <t>2018-02</t>
        </is>
      </c>
      <c r="N5" t="inlineStr">
        <is>
          <t>2018-02</t>
        </is>
      </c>
      <c r="O5" t="inlineStr">
        <is>
          <t>2021-02</t>
        </is>
      </c>
      <c r="P5" t="inlineStr">
        <is>
          <t>https://renews.biz/66760/falck-energises-74mw-brattmyrliden-in-sweden/</t>
        </is>
      </c>
      <c r="Q5" t="inlineStr">
        <is>
          <t>https://renews.biz/66760/falck-energises-74mw-brattmyrliden-in-sweden/</t>
        </is>
      </c>
      <c r="U5" t="inlineStr">
        <is>
          <t>https://renews.biz/66760/falck-energises-74mw-brattmyrliden-in-sweden/</t>
        </is>
      </c>
      <c r="V5" t="inlineStr">
        <is>
          <t>2e0ffe83-e698-506a-a87a-79642b133a71</t>
        </is>
      </c>
    </row>
    <row r="6">
      <c r="A6" t="inlineStr">
        <is>
          <t>enbw</t>
        </is>
      </c>
      <c r="B6" t="inlineStr">
        <is>
          <t>DE</t>
        </is>
      </c>
      <c r="C6" t="inlineStr">
        <is>
          <t>Brandenburg</t>
        </is>
      </c>
      <c r="D6" t="inlineStr">
        <is>
          <t>wind</t>
        </is>
      </c>
      <c r="E6" t="inlineStr">
        <is>
          <t>turbine</t>
        </is>
      </c>
      <c r="F6" t="n">
        <v>1</v>
      </c>
      <c r="G6" t="inlineStr">
        <is>
          <t>under construction</t>
        </is>
      </c>
      <c r="H6" t="n">
        <v>0.038</v>
      </c>
      <c r="I6" t="n">
        <v>0.038</v>
      </c>
      <c r="L6" t="b">
        <v>0</v>
      </c>
      <c r="M6" t="inlineStr">
        <is>
          <t>2022-08</t>
        </is>
      </c>
      <c r="N6" t="inlineStr">
        <is>
          <t>2022-08</t>
        </is>
      </c>
      <c r="O6" t="inlineStr">
        <is>
          <t>2025-08</t>
        </is>
      </c>
      <c r="P6" t="inlineStr">
        <is>
          <t>https://renews.biz/80113/enbw-turns-sod-on-38mw-german-wind/</t>
        </is>
      </c>
      <c r="Q6" t="inlineStr">
        <is>
          <t>https://renews.biz/80113/enbw-turns-sod-on-38mw-german-wind/</t>
        </is>
      </c>
      <c r="S6" t="inlineStr">
        <is>
          <t>https://renews.biz/80113/enbw-turns-sod-on-38mw-german-wind/</t>
        </is>
      </c>
      <c r="T6" t="inlineStr">
        <is>
          <t>https://renews.biz/80113/enbw-turns-sod-on-38mw-german-wind/</t>
        </is>
      </c>
      <c r="V6" t="inlineStr">
        <is>
          <t>c502ac28-2c55-5f9d-9193-fc012d82527f</t>
        </is>
      </c>
    </row>
    <row r="7">
      <c r="A7" t="inlineStr">
        <is>
          <t>enbw</t>
        </is>
      </c>
      <c r="B7" t="inlineStr">
        <is>
          <t>DE</t>
        </is>
      </c>
      <c r="C7" t="inlineStr">
        <is>
          <t>Bremervörde</t>
        </is>
      </c>
      <c r="D7" t="inlineStr">
        <is>
          <t>wind</t>
        </is>
      </c>
      <c r="E7" t="inlineStr">
        <is>
          <t>nacelle</t>
        </is>
      </c>
      <c r="F7" t="n">
        <v>1</v>
      </c>
      <c r="G7" t="inlineStr">
        <is>
          <t>operational</t>
        </is>
      </c>
      <c r="H7" t="n">
        <v>0.009000000000000001</v>
      </c>
      <c r="I7" t="n">
        <v>0.009000000000000001</v>
      </c>
      <c r="L7" t="b">
        <v>0</v>
      </c>
      <c r="M7" t="inlineStr">
        <is>
          <t>2022-05</t>
        </is>
      </c>
      <c r="N7" t="inlineStr">
        <is>
          <t>2022-05</t>
        </is>
      </c>
      <c r="O7" t="inlineStr">
        <is>
          <t>2025-05</t>
        </is>
      </c>
      <c r="P7" t="inlineStr">
        <is>
          <t>https://renews.biz/100627/turbine-catches-fire-at-enbw-wind-farm/</t>
        </is>
      </c>
      <c r="Q7" t="inlineStr">
        <is>
          <t>https://renews.biz/100627/turbine-catches-fire-at-enbw-wind-farm/</t>
        </is>
      </c>
      <c r="U7" t="inlineStr">
        <is>
          <t>https://renews.biz/100627/turbine-catches-fire-at-enbw-wind-farm/</t>
        </is>
      </c>
      <c r="V7" t="inlineStr">
        <is>
          <t>1fabbb5f-7bba-5fe4-9ea0-fde063e26608</t>
        </is>
      </c>
    </row>
    <row r="8">
      <c r="A8" t="inlineStr">
        <is>
          <t>energiepark bad lauchstadt</t>
        </is>
      </c>
      <c r="B8" t="inlineStr">
        <is>
          <t>DE</t>
        </is>
      </c>
      <c r="C8" t="inlineStr">
        <is>
          <t>Saxony-Anhalt</t>
        </is>
      </c>
      <c r="D8" t="inlineStr">
        <is>
          <t>wind</t>
        </is>
      </c>
      <c r="E8" t="inlineStr">
        <is>
          <t>turbine</t>
        </is>
      </c>
      <c r="F8" t="n">
        <v>1</v>
      </c>
      <c r="G8" t="inlineStr">
        <is>
          <t>announced</t>
        </is>
      </c>
      <c r="H8" t="n">
        <v>0.05</v>
      </c>
      <c r="I8" t="n">
        <v>0.05</v>
      </c>
      <c r="L8" t="b">
        <v>0</v>
      </c>
      <c r="M8" t="inlineStr">
        <is>
          <t>2023-03</t>
        </is>
      </c>
      <c r="P8" t="inlineStr">
        <is>
          <t>https://renews.biz/84491/vestas-wins-50mw-german-job/</t>
        </is>
      </c>
      <c r="Q8" t="inlineStr">
        <is>
          <t>https://renews.biz/84491/vestas-wins-50mw-german-job/</t>
        </is>
      </c>
      <c r="S8" t="inlineStr">
        <is>
          <t>https://renews.biz/84491/vestas-wins-50mw-german-job/</t>
        </is>
      </c>
      <c r="V8" t="inlineStr">
        <is>
          <t>9ad31e64-7187-5a4e-a74e-c27b0390f8bb</t>
        </is>
      </c>
    </row>
    <row r="9">
      <c r="A9" t="inlineStr">
        <is>
          <t>eolmed project</t>
        </is>
      </c>
      <c r="B9" t="inlineStr">
        <is>
          <t>FR</t>
        </is>
      </c>
      <c r="C9" t="inlineStr">
        <is>
          <t>Gruissan</t>
        </is>
      </c>
      <c r="D9" t="inlineStr">
        <is>
          <t>wind</t>
        </is>
      </c>
      <c r="E9" t="inlineStr">
        <is>
          <t>turbine</t>
        </is>
      </c>
      <c r="F9" t="n">
        <v>1</v>
      </c>
      <c r="G9" t="inlineStr">
        <is>
          <t>announced</t>
        </is>
      </c>
      <c r="H9" t="n">
        <v>0.03</v>
      </c>
      <c r="I9" t="n">
        <v>0.03</v>
      </c>
      <c r="L9" t="b">
        <v>0</v>
      </c>
      <c r="M9" t="inlineStr">
        <is>
          <t>2021-12</t>
        </is>
      </c>
      <c r="P9" t="inlineStr">
        <is>
          <t>https://renews.biz/74043/bw-ideol-buys-5-stake-in-french-floater/</t>
        </is>
      </c>
      <c r="Q9" t="inlineStr">
        <is>
          <t>https://renews.biz/74043/bw-ideol-buys-5-stake-in-french-floater/</t>
        </is>
      </c>
      <c r="S9" t="inlineStr">
        <is>
          <t>https://renews.biz/74043/bw-ideol-buys-5-stake-in-french-floater/</t>
        </is>
      </c>
      <c r="V9" t="inlineStr">
        <is>
          <t>99b815c4-c95f-5995-ae12-abd2f931d8e1</t>
        </is>
      </c>
    </row>
    <row r="10">
      <c r="A10" t="inlineStr">
        <is>
          <t>green port hull</t>
        </is>
      </c>
      <c r="B10" t="inlineStr">
        <is>
          <t>GB</t>
        </is>
      </c>
      <c r="C10" t="inlineStr">
        <is>
          <t>Kingston upon Hull</t>
        </is>
      </c>
      <c r="D10" t="inlineStr">
        <is>
          <t>wind</t>
        </is>
      </c>
      <c r="E10" t="inlineStr">
        <is>
          <t>turbine</t>
        </is>
      </c>
      <c r="F10" t="n">
        <v>1</v>
      </c>
      <c r="G10" t="inlineStr">
        <is>
          <t>operational</t>
        </is>
      </c>
      <c r="J10" t="n">
        <v>366538575</v>
      </c>
      <c r="K10" t="n">
        <v>366538575</v>
      </c>
      <c r="L10" t="b">
        <v>0</v>
      </c>
      <c r="P10" t="inlineStr">
        <is>
          <t>https://renews.biz/73628/abp-to-open-new-port-land-for-renewables/</t>
        </is>
      </c>
      <c r="R10" t="inlineStr">
        <is>
          <t>https://renews.biz/73628/abp-to-open-new-port-land-for-renewables/</t>
        </is>
      </c>
      <c r="V10" t="inlineStr">
        <is>
          <t>05cb70bc-e030-5e46-80a8-125f36dbc9d0</t>
        </is>
      </c>
    </row>
    <row r="11">
      <c r="A11" t="inlineStr">
        <is>
          <t>greencoat renewables</t>
        </is>
      </c>
      <c r="B11" t="inlineStr">
        <is>
          <t>ES</t>
        </is>
      </c>
      <c r="C11" t="inlineStr">
        <is>
          <t>Soria</t>
        </is>
      </c>
      <c r="D11" t="inlineStr">
        <is>
          <t>wind</t>
        </is>
      </c>
      <c r="E11" t="inlineStr">
        <is>
          <t>turbine</t>
        </is>
      </c>
      <c r="F11" t="n">
        <v>1</v>
      </c>
      <c r="G11" t="inlineStr">
        <is>
          <t>operational</t>
        </is>
      </c>
      <c r="H11" t="n">
        <v>0.021</v>
      </c>
      <c r="I11" t="n">
        <v>0.021</v>
      </c>
      <c r="L11" t="b">
        <v>0</v>
      </c>
      <c r="M11" t="inlineStr">
        <is>
          <t>2019-04</t>
        </is>
      </c>
      <c r="N11" t="inlineStr">
        <is>
          <t>2019-04</t>
        </is>
      </c>
      <c r="O11" t="inlineStr">
        <is>
          <t>2022-04</t>
        </is>
      </c>
      <c r="P11" t="inlineStr">
        <is>
          <t>https://renews.biz/77084/greencoat-renewables-snaps-up-21mw-spanish-wind/</t>
        </is>
      </c>
      <c r="Q11" t="inlineStr">
        <is>
          <t>https://renews.biz/77084/greencoat-renewables-snaps-up-21mw-spanish-wind/</t>
        </is>
      </c>
      <c r="U11" t="inlineStr">
        <is>
          <t>https://renews.biz/77084/greencoat-renewables-snaps-up-21mw-spanish-wind/</t>
        </is>
      </c>
      <c r="V11" t="inlineStr">
        <is>
          <t>4c19fe3a-11e9-5e9c-8803-97340aa7355e</t>
        </is>
      </c>
    </row>
    <row r="12">
      <c r="A12" t="inlineStr">
        <is>
          <t>gri arp</t>
        </is>
      </c>
      <c r="B12" t="inlineStr">
        <is>
          <t>PL</t>
        </is>
      </c>
      <c r="C12" t="inlineStr">
        <is>
          <t>Gdańsk</t>
        </is>
      </c>
      <c r="D12" t="inlineStr">
        <is>
          <t>wind</t>
        </is>
      </c>
      <c r="E12" t="inlineStr">
        <is>
          <t>tower</t>
        </is>
      </c>
      <c r="F12" t="n">
        <v>1</v>
      </c>
      <c r="G12" t="inlineStr">
        <is>
          <t>announced</t>
        </is>
      </c>
      <c r="J12" t="n">
        <v>200000000</v>
      </c>
      <c r="K12" t="n">
        <v>200000000</v>
      </c>
      <c r="L12" t="b">
        <v>0</v>
      </c>
      <c r="M12" t="inlineStr">
        <is>
          <t>2023-01</t>
        </is>
      </c>
      <c r="P12" t="inlineStr">
        <is>
          <t>https://renews.biz/83332/new-jv-launches-to-build-polish-wind-tower-factory/</t>
        </is>
      </c>
      <c r="Q12" t="inlineStr">
        <is>
          <t>https://renews.biz/83332/new-jv-launches-to-build-polish-wind-tower-factory/</t>
        </is>
      </c>
      <c r="R12" t="inlineStr">
        <is>
          <t>https://renews.biz/83332/new-jv-launches-to-build-polish-wind-tower-factory/</t>
        </is>
      </c>
      <c r="S12" t="inlineStr">
        <is>
          <t>https://renews.biz/83332/new-jv-launches-to-build-polish-wind-tower-factory/</t>
        </is>
      </c>
      <c r="V12" t="inlineStr">
        <is>
          <t>9b7256d5-3caf-5d25-97f3-ec6e605d3008</t>
        </is>
      </c>
    </row>
    <row r="13">
      <c r="A13" t="inlineStr">
        <is>
          <t>la banque des territoires groupe caisse des depots</t>
        </is>
      </c>
      <c r="B13" t="inlineStr">
        <is>
          <t>FR</t>
        </is>
      </c>
      <c r="C13" t="inlineStr">
        <is>
          <t>Leucate</t>
        </is>
      </c>
      <c r="D13" t="inlineStr">
        <is>
          <t>wind</t>
        </is>
      </c>
      <c r="E13" t="inlineStr">
        <is>
          <t>turbine</t>
        </is>
      </c>
      <c r="F13" t="n">
        <v>1</v>
      </c>
      <c r="G13" t="inlineStr">
        <is>
          <t>unclear</t>
        </is>
      </c>
      <c r="H13" t="n">
        <v>0.03</v>
      </c>
      <c r="I13" t="n">
        <v>0.03</v>
      </c>
      <c r="L13" t="b">
        <v>0</v>
      </c>
      <c r="P13" t="inlineStr">
        <is>
          <t>https://renews.biz/81068/maersk-to-transport-install-french-floaters-turbines/</t>
        </is>
      </c>
      <c r="Q13" t="inlineStr">
        <is>
          <t>https://renews.biz/81068/maersk-to-transport-install-french-floaters-turbines/</t>
        </is>
      </c>
      <c r="V13" t="inlineStr">
        <is>
          <t>604cca32-806e-5b27-91d9-cdef2bf110d0</t>
        </is>
      </c>
    </row>
    <row r="14">
      <c r="A14" t="inlineStr">
        <is>
          <t>lm wind power</t>
        </is>
      </c>
      <c r="B14" t="inlineStr">
        <is>
          <t>ES</t>
        </is>
      </c>
      <c r="C14" t="inlineStr">
        <is>
          <t>Castellón de la Plana/Castelló de la Plana</t>
        </is>
      </c>
      <c r="D14" t="inlineStr">
        <is>
          <t>wind</t>
        </is>
      </c>
      <c r="E14" t="inlineStr">
        <is>
          <t>blade</t>
        </is>
      </c>
      <c r="F14" t="n">
        <v>1</v>
      </c>
      <c r="G14" t="inlineStr">
        <is>
          <t>operational</t>
        </is>
      </c>
      <c r="H14" t="n">
        <v>2</v>
      </c>
      <c r="I14" t="n">
        <v>2</v>
      </c>
      <c r="L14" t="b">
        <v>0</v>
      </c>
      <c r="M14" t="inlineStr">
        <is>
          <t>2019-01</t>
        </is>
      </c>
      <c r="N14" t="inlineStr">
        <is>
          <t>2019-01</t>
        </is>
      </c>
      <c r="O14" t="inlineStr">
        <is>
          <t>2022-01</t>
        </is>
      </c>
      <c r="P14" t="inlineStr">
        <is>
          <t>https://www.endesa.com/en/press/press-room/news/energy-efficiency/circular-economy/first-peninsula-iberica-wind-turbine-blade-recycling-plant</t>
        </is>
      </c>
      <c r="Q14" t="inlineStr">
        <is>
          <t>https://www.endesa.com/en/press/press-room/news/energy-efficiency/circular-economy/first-peninsula-iberica-wind-turbine-blade-recycling-plant</t>
        </is>
      </c>
      <c r="U14" t="inlineStr">
        <is>
          <t>https://www.endesa.com/en/press/press-room/news/energy-efficiency/circular-economy/first-peninsula-iberica-wind-turbine-blade-recycling-plant</t>
        </is>
      </c>
      <c r="V14" t="inlineStr">
        <is>
          <t>4766931a-ce81-512b-b9c7-0e37fb10a853</t>
        </is>
      </c>
    </row>
    <row r="15">
      <c r="A15" t="inlineStr">
        <is>
          <t>lm wind power</t>
        </is>
      </c>
      <c r="B15" t="inlineStr">
        <is>
          <t>ES</t>
        </is>
      </c>
      <c r="C15" t="inlineStr">
        <is>
          <t>Ponferrada</t>
        </is>
      </c>
      <c r="D15" t="inlineStr">
        <is>
          <t>wind</t>
        </is>
      </c>
      <c r="E15" t="inlineStr">
        <is>
          <t>blade</t>
        </is>
      </c>
      <c r="F15" t="n">
        <v>1</v>
      </c>
      <c r="G15" t="inlineStr">
        <is>
          <t>operational</t>
        </is>
      </c>
      <c r="H15" t="n">
        <v>2</v>
      </c>
      <c r="I15" t="n">
        <v>2</v>
      </c>
      <c r="L15" t="b">
        <v>0</v>
      </c>
      <c r="M15" t="inlineStr">
        <is>
          <t>2019-01</t>
        </is>
      </c>
      <c r="N15" t="inlineStr">
        <is>
          <t>2019-01</t>
        </is>
      </c>
      <c r="O15" t="inlineStr">
        <is>
          <t>2022-01</t>
        </is>
      </c>
      <c r="P15" t="inlineStr">
        <is>
          <t>https://www.endesa.com/en/press/press-room/news/energy-efficiency/circular-economy/first-peninsula-iberica-wind-turbine-blade-recycling-plant</t>
        </is>
      </c>
      <c r="Q15" t="inlineStr">
        <is>
          <t>https://www.endesa.com/en/press/press-room/news/energy-efficiency/circular-economy/first-peninsula-iberica-wind-turbine-blade-recycling-plant</t>
        </is>
      </c>
      <c r="U15" t="inlineStr">
        <is>
          <t>https://www.endesa.com/en/press/press-room/news/energy-efficiency/circular-economy/first-peninsula-iberica-wind-turbine-blade-recycling-plant</t>
        </is>
      </c>
      <c r="V15" t="inlineStr">
        <is>
          <t>6cbcebc1-1914-5d09-92db-48a9c17ec76f</t>
        </is>
      </c>
    </row>
    <row r="16">
      <c r="A16" t="inlineStr">
        <is>
          <t>lm wind power</t>
        </is>
      </c>
      <c r="B16" t="inlineStr">
        <is>
          <t>FR</t>
        </is>
      </c>
      <c r="C16" t="inlineStr">
        <is>
          <t>Cherbourg-en-Cotentin</t>
        </is>
      </c>
      <c r="D16" t="inlineStr">
        <is>
          <t>wind</t>
        </is>
      </c>
      <c r="E16" t="inlineStr">
        <is>
          <t>blade</t>
        </is>
      </c>
      <c r="F16" t="n">
        <v>1</v>
      </c>
      <c r="G16" t="inlineStr">
        <is>
          <t>under construction</t>
        </is>
      </c>
      <c r="H16" t="n">
        <v>1.6</v>
      </c>
      <c r="I16" t="n">
        <v>1.6</v>
      </c>
      <c r="J16" t="n">
        <v>100000000</v>
      </c>
      <c r="K16" t="n">
        <v>100000000</v>
      </c>
      <c r="L16" t="b">
        <v>0</v>
      </c>
      <c r="M16" t="inlineStr">
        <is>
          <t>2017-02</t>
        </is>
      </c>
      <c r="N16" t="inlineStr">
        <is>
          <t>2019-05</t>
        </is>
      </c>
      <c r="O16" t="inlineStr">
        <is>
          <t>2022-05</t>
        </is>
      </c>
      <c r="P16" t="inlineStr">
        <is>
          <t>https://www.windsystemsmag.com/lm-wind-power-lays-first-stone-at-cherbourg-blade-factory/</t>
        </is>
      </c>
      <c r="Q16" t="inlineStr">
        <is>
          <t>https://www.windsystemsmag.com/lm-wind-power-lays-first-stone-at-cherbourg-blade-factory/</t>
        </is>
      </c>
      <c r="R16" t="inlineStr">
        <is>
          <t>https://www.windsystemsmag.com/lm-wind-power-lays-first-stone-at-cherbourg-blade-factory/</t>
        </is>
      </c>
      <c r="S16" t="inlineStr">
        <is>
          <t>https://cws.huginonline.com/L/160830/PR/201702/2081095_5.html</t>
        </is>
      </c>
      <c r="T16" t="inlineStr">
        <is>
          <t>https://www.windsystemsmag.com/lm-wind-power-lays-first-stone-at-cherbourg-blade-factory/</t>
        </is>
      </c>
      <c r="V16" t="inlineStr">
        <is>
          <t>7937335a-12a9-5acc-9a1c-a55cefa25357</t>
        </is>
      </c>
    </row>
    <row r="17">
      <c r="A17" t="inlineStr">
        <is>
          <t>lm wind power</t>
        </is>
      </c>
      <c r="B17" t="inlineStr">
        <is>
          <t>FR</t>
        </is>
      </c>
      <c r="C17" t="inlineStr">
        <is>
          <t>Cherbourg-en-Cotentin</t>
        </is>
      </c>
      <c r="D17" t="inlineStr">
        <is>
          <t>wind</t>
        </is>
      </c>
      <c r="E17" t="inlineStr">
        <is>
          <t>blade</t>
        </is>
      </c>
      <c r="F17" t="n">
        <v>2</v>
      </c>
      <c r="G17" t="inlineStr">
        <is>
          <t>announced</t>
        </is>
      </c>
      <c r="J17" t="n">
        <v>120000000</v>
      </c>
      <c r="K17" t="n">
        <v>220000000</v>
      </c>
      <c r="L17" t="b">
        <v>0</v>
      </c>
      <c r="M17" t="inlineStr">
        <is>
          <t>2018-05</t>
        </is>
      </c>
      <c r="P17" t="inlineStr">
        <is>
          <t>https://www.offshorewind.biz/2019/11/07/ge-officially-inaugurates-cherbourg-blade-factory/</t>
        </is>
      </c>
      <c r="R17" t="inlineStr">
        <is>
          <t>https://www.offshorewind.biz/2019/11/07/ge-officially-inaugurates-cherbourg-blade-factory/</t>
        </is>
      </c>
      <c r="S17" t="inlineStr">
        <is>
          <t>https://www.weamec.fr/en/synthesis/ge-haliade-x/#:~:text=%24%2060%20million%20over%20the%20next%20five%20years</t>
        </is>
      </c>
      <c r="V17" t="inlineStr">
        <is>
          <t>7937335a-12a9-5acc-9a1c-a55cefa25357</t>
        </is>
      </c>
    </row>
    <row r="18">
      <c r="A18" t="inlineStr">
        <is>
          <t>lm wind power</t>
        </is>
      </c>
      <c r="B18" t="inlineStr">
        <is>
          <t>FR</t>
        </is>
      </c>
      <c r="C18" t="inlineStr">
        <is>
          <t>Pays de la Loire</t>
        </is>
      </c>
      <c r="D18" t="inlineStr">
        <is>
          <t>wind</t>
        </is>
      </c>
      <c r="E18" t="inlineStr">
        <is>
          <t>turbine</t>
        </is>
      </c>
      <c r="F18" t="n">
        <v>1</v>
      </c>
      <c r="G18" t="inlineStr">
        <is>
          <t>operational</t>
        </is>
      </c>
      <c r="H18" t="n">
        <v>0.48</v>
      </c>
      <c r="I18" t="n">
        <v>0.48</v>
      </c>
      <c r="L18" t="b">
        <v>0</v>
      </c>
      <c r="M18" t="inlineStr">
        <is>
          <t>2019-04</t>
        </is>
      </c>
      <c r="N18" t="inlineStr">
        <is>
          <t>2019-04</t>
        </is>
      </c>
      <c r="O18" t="inlineStr">
        <is>
          <t>2022-04</t>
        </is>
      </c>
      <c r="P18" t="inlineStr">
        <is>
          <t>https://renews.biz/77342/valemo-secures-saint-nazaire-turbine-commissioning-gig/</t>
        </is>
      </c>
      <c r="Q18" t="inlineStr">
        <is>
          <t>https://renews.biz/77342/valemo-secures-saint-nazaire-turbine-commissioning-gig/</t>
        </is>
      </c>
      <c r="U18" t="inlineStr">
        <is>
          <t>https://renews.biz/77342/valemo-secures-saint-nazaire-turbine-commissioning-gig/</t>
        </is>
      </c>
      <c r="V18" t="inlineStr">
        <is>
          <t>5c13dab2-5821-5d1a-b4d8-6c5fb2146ec3</t>
        </is>
      </c>
    </row>
    <row r="19">
      <c r="A19" t="inlineStr">
        <is>
          <t>ntr</t>
        </is>
      </c>
      <c r="B19" t="inlineStr">
        <is>
          <t>SE</t>
        </is>
      </c>
      <c r="C19" t="inlineStr">
        <is>
          <t>Jönköping Municipality</t>
        </is>
      </c>
      <c r="D19" t="inlineStr">
        <is>
          <t>wind</t>
        </is>
      </c>
      <c r="E19" t="inlineStr">
        <is>
          <t>turbine</t>
        </is>
      </c>
      <c r="F19" t="n">
        <v>1</v>
      </c>
      <c r="G19" t="inlineStr">
        <is>
          <t>announced</t>
        </is>
      </c>
      <c r="H19" t="n">
        <v>0.08600000000000001</v>
      </c>
      <c r="I19" t="n">
        <v>0.08600000000000001</v>
      </c>
      <c r="J19" t="n">
        <v>115000000</v>
      </c>
      <c r="K19" t="n">
        <v>115000000</v>
      </c>
      <c r="L19" t="b">
        <v>0</v>
      </c>
      <c r="M19" t="inlineStr">
        <is>
          <t>2021-05</t>
        </is>
      </c>
      <c r="P19" t="inlineStr">
        <is>
          <t>https://renews.biz/69604/ntr-banks-115m-for-swedish-wind-build/</t>
        </is>
      </c>
      <c r="Q19" t="inlineStr">
        <is>
          <t>https://renews.biz/69604/ntr-banks-115m-for-swedish-wind-build/</t>
        </is>
      </c>
      <c r="R19" t="inlineStr">
        <is>
          <t>https://renews.biz/69604/ntr-banks-115m-for-swedish-wind-build/</t>
        </is>
      </c>
      <c r="S19" t="inlineStr">
        <is>
          <t>https://renews.biz/69604/ntr-banks-115m-for-swedish-wind-build/</t>
        </is>
      </c>
      <c r="V19" t="inlineStr">
        <is>
          <t>3c6fc872-fdf9-5831-a7f2-f758a15ac5d1</t>
        </is>
      </c>
    </row>
    <row r="20">
      <c r="A20" t="inlineStr">
        <is>
          <t>ocean winds</t>
        </is>
      </c>
      <c r="B20" t="inlineStr">
        <is>
          <t>FR</t>
        </is>
      </c>
      <c r="C20" t="inlineStr">
        <is>
          <t>Leucate</t>
        </is>
      </c>
      <c r="D20" t="inlineStr">
        <is>
          <t>wind</t>
        </is>
      </c>
      <c r="E20" t="inlineStr">
        <is>
          <t>turbine</t>
        </is>
      </c>
      <c r="F20" t="n">
        <v>1</v>
      </c>
      <c r="G20" t="inlineStr">
        <is>
          <t>unclear</t>
        </is>
      </c>
      <c r="H20" t="n">
        <v>0.03</v>
      </c>
      <c r="I20" t="n">
        <v>0.03</v>
      </c>
      <c r="L20" t="b">
        <v>0</v>
      </c>
      <c r="P20" t="inlineStr">
        <is>
          <t>https://renews.biz/81068/maersk-to-transport-install-french-floaters-turbines/</t>
        </is>
      </c>
      <c r="Q20" t="inlineStr">
        <is>
          <t>https://renews.biz/81068/maersk-to-transport-install-french-floaters-turbines/</t>
        </is>
      </c>
      <c r="V20" t="inlineStr">
        <is>
          <t>c59a91fb-d9cf-529a-93e9-c796a0757a2a</t>
        </is>
      </c>
    </row>
    <row r="21">
      <c r="A21" t="inlineStr">
        <is>
          <t>pne</t>
        </is>
      </c>
      <c r="B21" t="inlineStr">
        <is>
          <t>DE</t>
        </is>
      </c>
      <c r="C21" t="inlineStr">
        <is>
          <t>Hohenroda</t>
        </is>
      </c>
      <c r="D21" t="inlineStr">
        <is>
          <t>wind</t>
        </is>
      </c>
      <c r="E21" t="inlineStr">
        <is>
          <t>turbine</t>
        </is>
      </c>
      <c r="F21" t="n">
        <v>1</v>
      </c>
      <c r="G21" t="inlineStr">
        <is>
          <t>operational</t>
        </is>
      </c>
      <c r="H21" t="n">
        <v>0.029</v>
      </c>
      <c r="I21" t="n">
        <v>0.029</v>
      </c>
      <c r="L21" t="b">
        <v>0</v>
      </c>
      <c r="M21" t="inlineStr">
        <is>
          <t>2020-04</t>
        </is>
      </c>
      <c r="N21" t="inlineStr">
        <is>
          <t>2020-04</t>
        </is>
      </c>
      <c r="O21" t="inlineStr">
        <is>
          <t>2023-04</t>
        </is>
      </c>
      <c r="P21" t="inlineStr">
        <is>
          <t>https://renews.biz/85268/pne-puts-29mw-wind-farm-into-operation/</t>
        </is>
      </c>
      <c r="Q21" t="inlineStr">
        <is>
          <t>https://renews.biz/85268/pne-puts-29mw-wind-farm-into-operation/</t>
        </is>
      </c>
      <c r="U21" t="inlineStr">
        <is>
          <t>https://renews.biz/85268/pne-puts-29mw-wind-farm-into-operation/</t>
        </is>
      </c>
      <c r="V21" t="inlineStr">
        <is>
          <t>cbde5095-0e38-5ae6-85df-b78e57bdbe10</t>
        </is>
      </c>
    </row>
    <row r="22">
      <c r="A22" t="inlineStr">
        <is>
          <t>renexia mingyang</t>
        </is>
      </c>
      <c r="B22" t="inlineStr">
        <is>
          <t>IT</t>
        </is>
      </c>
      <c r="C22" t="inlineStr">
        <is>
          <t>Trapani</t>
        </is>
      </c>
      <c r="D22" t="inlineStr">
        <is>
          <t>wind</t>
        </is>
      </c>
      <c r="E22" t="inlineStr">
        <is>
          <t>turbine</t>
        </is>
      </c>
      <c r="F22" t="n">
        <v>1</v>
      </c>
      <c r="G22" t="inlineStr">
        <is>
          <t>announced</t>
        </is>
      </c>
      <c r="J22" t="n">
        <v>500000000</v>
      </c>
      <c r="K22" t="n">
        <v>500000000</v>
      </c>
      <c r="L22" t="b">
        <v>0</v>
      </c>
      <c r="M22" t="inlineStr">
        <is>
          <t>2024-08</t>
        </is>
      </c>
      <c r="P22" t="inlineStr">
        <is>
          <t>https://renews.biz/94995/renexia-mingyang-cement-med-wind-cooperation/</t>
        </is>
      </c>
      <c r="R22" t="inlineStr">
        <is>
          <t>https://renews.biz/94995/renexia-mingyang-cement-med-wind-cooperation/</t>
        </is>
      </c>
      <c r="S22" t="inlineStr">
        <is>
          <t>https://renews.biz/94995/renexia-mingyang-cement-med-wind-cooperation/</t>
        </is>
      </c>
      <c r="V22" t="inlineStr">
        <is>
          <t>148c0ca7-cde2-54bf-938c-34edf24fe243</t>
        </is>
      </c>
    </row>
    <row r="23">
      <c r="A23" t="inlineStr">
        <is>
          <t>rwe</t>
        </is>
      </c>
      <c r="B23" t="inlineStr">
        <is>
          <t>DE</t>
        </is>
      </c>
      <c r="C23" t="inlineStr">
        <is>
          <t>Saxony-Anhalt</t>
        </is>
      </c>
      <c r="D23" t="inlineStr">
        <is>
          <t>wind</t>
        </is>
      </c>
      <c r="E23" t="inlineStr">
        <is>
          <t>turbine</t>
        </is>
      </c>
      <c r="F23" t="n">
        <v>1</v>
      </c>
      <c r="G23" t="inlineStr">
        <is>
          <t>operational</t>
        </is>
      </c>
      <c r="H23" t="n">
        <v>0.0198</v>
      </c>
      <c r="I23" t="n">
        <v>0.0198</v>
      </c>
      <c r="L23" t="b">
        <v>0</v>
      </c>
      <c r="M23" t="inlineStr">
        <is>
          <t>2019-04</t>
        </is>
      </c>
      <c r="N23" t="inlineStr">
        <is>
          <t>2019-04</t>
        </is>
      </c>
      <c r="O23" t="inlineStr">
        <is>
          <t>2022-04</t>
        </is>
      </c>
      <c r="P23" t="inlineStr">
        <is>
          <t>https://renews.biz/77312/rwe-completes-german-wind-farm-repowering/</t>
        </is>
      </c>
      <c r="Q23" t="inlineStr">
        <is>
          <t>https://renews.biz/77312/rwe-completes-german-wind-farm-repowering/</t>
        </is>
      </c>
      <c r="U23" t="inlineStr">
        <is>
          <t>https://renews.biz/77312/rwe-completes-german-wind-farm-repowering/</t>
        </is>
      </c>
      <c r="V23" t="inlineStr">
        <is>
          <t>4d98db08-3728-5378-8168-6016750cc814</t>
        </is>
      </c>
    </row>
    <row r="24">
      <c r="A24" t="inlineStr">
        <is>
          <t>rwe</t>
        </is>
      </c>
      <c r="B24" t="inlineStr">
        <is>
          <t>GB</t>
        </is>
      </c>
      <c r="C24" t="inlineStr">
        <is>
          <t>East Ayrshire</t>
        </is>
      </c>
      <c r="D24" t="inlineStr">
        <is>
          <t>wind</t>
        </is>
      </c>
      <c r="E24" t="inlineStr">
        <is>
          <t>turbine</t>
        </is>
      </c>
      <c r="F24" t="n">
        <v>1</v>
      </c>
      <c r="G24" t="inlineStr">
        <is>
          <t>under construction</t>
        </is>
      </c>
      <c r="H24" t="n">
        <v>0.0696</v>
      </c>
      <c r="I24" t="n">
        <v>0.0696</v>
      </c>
      <c r="L24" t="b">
        <v>0</v>
      </c>
      <c r="M24" t="inlineStr">
        <is>
          <t>2024-12</t>
        </is>
      </c>
      <c r="N24" t="inlineStr">
        <is>
          <t>2024-12</t>
        </is>
      </c>
      <c r="O24" t="inlineStr">
        <is>
          <t>2027-12</t>
        </is>
      </c>
      <c r="P24" t="inlineStr">
        <is>
          <t>https://renews.biz/97647/rwe-progresses-scots-wind-trio/</t>
        </is>
      </c>
      <c r="Q24" t="inlineStr">
        <is>
          <t>https://renews.biz/97647/rwe-progresses-scots-wind-trio/</t>
        </is>
      </c>
      <c r="S24" t="inlineStr">
        <is>
          <t>https://renews.biz/97647/rwe-progresses-scots-wind-trio/</t>
        </is>
      </c>
      <c r="T24" t="inlineStr">
        <is>
          <t>https://renews.biz/97647/rwe-progresses-scots-wind-trio/</t>
        </is>
      </c>
      <c r="V24" t="inlineStr">
        <is>
          <t>b8c1c4a1-3ccf-5ec1-a770-5c37b45ed78c</t>
        </is>
      </c>
    </row>
    <row r="25">
      <c r="A25" t="inlineStr">
        <is>
          <t>rwe</t>
        </is>
      </c>
      <c r="B25" t="inlineStr">
        <is>
          <t>GB</t>
        </is>
      </c>
      <c r="C25" t="inlineStr">
        <is>
          <t>Norfolk</t>
        </is>
      </c>
      <c r="D25" t="inlineStr">
        <is>
          <t>wind</t>
        </is>
      </c>
      <c r="E25" t="inlineStr">
        <is>
          <t>nacelle</t>
        </is>
      </c>
      <c r="F25" t="n">
        <v>1</v>
      </c>
      <c r="G25" t="inlineStr">
        <is>
          <t>operational</t>
        </is>
      </c>
      <c r="H25" t="n">
        <v>0.058</v>
      </c>
      <c r="I25" t="n">
        <v>0.058</v>
      </c>
      <c r="L25" t="b">
        <v>0</v>
      </c>
      <c r="M25" t="inlineStr">
        <is>
          <t>2022-09</t>
        </is>
      </c>
      <c r="N25" t="inlineStr">
        <is>
          <t>2022-09</t>
        </is>
      </c>
      <c r="O25" t="inlineStr">
        <is>
          <t>2025-09</t>
        </is>
      </c>
      <c r="P25" t="inlineStr">
        <is>
          <t>https://www.offshorewind.biz/2025/09/22/fire-damaged-turbine-being-removed-at-rwes-uk-offshore-wind-farm/</t>
        </is>
      </c>
      <c r="Q25" t="inlineStr">
        <is>
          <t>https://www.offshorewind.biz/2025/09/22/fire-damaged-turbine-being-removed-at-rwes-uk-offshore-wind-farm/</t>
        </is>
      </c>
      <c r="U25" t="inlineStr">
        <is>
          <t>https://www.offshorewind.biz/2025/09/22/fire-damaged-turbine-being-removed-at-rwes-uk-offshore-wind-farm/</t>
        </is>
      </c>
      <c r="V25" t="inlineStr">
        <is>
          <t>0aeeb8d8-fce8-5767-9eb8-0a4dfb6c83f2</t>
        </is>
      </c>
    </row>
    <row r="26">
      <c r="A26" t="inlineStr">
        <is>
          <t>rwe</t>
        </is>
      </c>
      <c r="B26" t="inlineStr">
        <is>
          <t>IT</t>
        </is>
      </c>
      <c r="C26" t="inlineStr">
        <is>
          <t>Partanna</t>
        </is>
      </c>
      <c r="D26" t="inlineStr">
        <is>
          <t>wind</t>
        </is>
      </c>
      <c r="E26" t="inlineStr">
        <is>
          <t>turbine</t>
        </is>
      </c>
      <c r="F26" t="n">
        <v>1</v>
      </c>
      <c r="G26" t="inlineStr">
        <is>
          <t>operational</t>
        </is>
      </c>
      <c r="H26" t="n">
        <v>0.025</v>
      </c>
      <c r="I26" t="n">
        <v>0.025</v>
      </c>
      <c r="J26" t="n">
        <v>28045246</v>
      </c>
      <c r="K26" t="n">
        <v>28045246</v>
      </c>
      <c r="L26" t="b">
        <v>0</v>
      </c>
      <c r="M26" t="inlineStr">
        <is>
          <t>2020-06</t>
        </is>
      </c>
      <c r="N26" t="inlineStr">
        <is>
          <t>2020-06</t>
        </is>
      </c>
      <c r="O26" t="inlineStr">
        <is>
          <t>2023-06</t>
        </is>
      </c>
      <c r="P26" t="inlineStr">
        <is>
          <t>https://renews.biz/86351/rwe-inaugurates-sicilian-wind-farm/</t>
        </is>
      </c>
      <c r="Q26" t="inlineStr">
        <is>
          <t>https://renews.biz/86351/rwe-inaugurates-sicilian-wind-farm/</t>
        </is>
      </c>
      <c r="R26" t="inlineStr">
        <is>
          <t>https://renews.biz/86351/rwe-inaugurates-sicilian-wind-farm/</t>
        </is>
      </c>
      <c r="U26" t="inlineStr">
        <is>
          <t>https://renews.biz/86351/rwe-inaugurates-sicilian-wind-farm/</t>
        </is>
      </c>
      <c r="V26" t="inlineStr">
        <is>
          <t>c5114a8f-f953-5bf6-9960-c041673588f2</t>
        </is>
      </c>
    </row>
    <row r="27">
      <c r="A27" t="inlineStr">
        <is>
          <t>rwe</t>
        </is>
      </c>
      <c r="B27" t="inlineStr">
        <is>
          <t>SE</t>
        </is>
      </c>
      <c r="C27" t="inlineStr">
        <is>
          <t>Halland</t>
        </is>
      </c>
      <c r="D27" t="inlineStr">
        <is>
          <t>wind</t>
        </is>
      </c>
      <c r="E27" t="inlineStr">
        <is>
          <t>turbine</t>
        </is>
      </c>
      <c r="F27" t="n">
        <v>1</v>
      </c>
      <c r="G27" t="inlineStr">
        <is>
          <t>announced</t>
        </is>
      </c>
      <c r="H27" t="n">
        <v>0.008400000000000001</v>
      </c>
      <c r="I27" t="n">
        <v>0.008400000000000001</v>
      </c>
      <c r="L27" t="b">
        <v>0</v>
      </c>
      <c r="M27" t="inlineStr">
        <is>
          <t>2023-01</t>
        </is>
      </c>
      <c r="P27" t="inlineStr">
        <is>
          <t>https://renews.biz/83420/rwe-starts-swedish-wind-farm-extension/</t>
        </is>
      </c>
      <c r="Q27" t="inlineStr">
        <is>
          <t>https://renews.biz/83420/rwe-starts-swedish-wind-farm-extension/</t>
        </is>
      </c>
      <c r="S27" t="inlineStr">
        <is>
          <t>https://renews.biz/83420/rwe-starts-swedish-wind-farm-extension/</t>
        </is>
      </c>
      <c r="V27" t="inlineStr">
        <is>
          <t>c6388d6d-a93b-5851-a1ee-a67ccad82202</t>
        </is>
      </c>
    </row>
    <row r="28">
      <c r="A28" t="inlineStr">
        <is>
          <t>rwe renewables iberia</t>
        </is>
      </c>
      <c r="B28" t="inlineStr">
        <is>
          <t>ES</t>
        </is>
      </c>
      <c r="C28" t="inlineStr">
        <is>
          <t>Soria</t>
        </is>
      </c>
      <c r="D28" t="inlineStr">
        <is>
          <t>wind</t>
        </is>
      </c>
      <c r="E28" t="inlineStr">
        <is>
          <t>turbine</t>
        </is>
      </c>
      <c r="F28" t="n">
        <v>1</v>
      </c>
      <c r="G28" t="inlineStr">
        <is>
          <t>under construction</t>
        </is>
      </c>
      <c r="H28" t="n">
        <v>0.0432</v>
      </c>
      <c r="I28" t="n">
        <v>0.0432</v>
      </c>
      <c r="L28" t="b">
        <v>0</v>
      </c>
      <c r="M28" t="inlineStr">
        <is>
          <t>2022-01</t>
        </is>
      </c>
      <c r="N28" t="inlineStr">
        <is>
          <t>2022-01</t>
        </is>
      </c>
      <c r="O28" t="inlineStr">
        <is>
          <t>2025-01</t>
        </is>
      </c>
      <c r="P28" t="inlineStr">
        <is>
          <t>https://renews.biz/74854/nordex-secures-43mw-spanish-order-from-rwe/</t>
        </is>
      </c>
      <c r="Q28" t="inlineStr">
        <is>
          <t>https://renews.biz/74854/nordex-secures-43mw-spanish-order-from-rwe/</t>
        </is>
      </c>
      <c r="S28" t="inlineStr">
        <is>
          <t>https://renews.biz/74854/nordex-secures-43mw-spanish-order-from-rwe/</t>
        </is>
      </c>
      <c r="T28" t="inlineStr">
        <is>
          <t>https://renews.biz/74854/nordex-secures-43mw-spanish-order-from-rwe/</t>
        </is>
      </c>
      <c r="V28" t="inlineStr">
        <is>
          <t>499c1646-0818-58d2-a39d-c7444a962d04</t>
        </is>
      </c>
    </row>
    <row r="29">
      <c r="A29" t="inlineStr">
        <is>
          <t>sarens</t>
        </is>
      </c>
      <c r="B29" t="inlineStr">
        <is>
          <t>GB</t>
        </is>
      </c>
      <c r="C29" t="inlineStr">
        <is>
          <t>Scottish Borders</t>
        </is>
      </c>
      <c r="D29" t="inlineStr">
        <is>
          <t>wind</t>
        </is>
      </c>
      <c r="E29" t="inlineStr">
        <is>
          <t>turbine</t>
        </is>
      </c>
      <c r="F29" t="n">
        <v>1</v>
      </c>
      <c r="G29" t="inlineStr">
        <is>
          <t>operational</t>
        </is>
      </c>
      <c r="H29" t="n">
        <v>0.038</v>
      </c>
      <c r="I29" t="n">
        <v>0.038</v>
      </c>
      <c r="L29" t="b">
        <v>0</v>
      </c>
      <c r="M29" t="inlineStr">
        <is>
          <t>2020-11</t>
        </is>
      </c>
      <c r="N29" t="inlineStr">
        <is>
          <t>2020-11</t>
        </is>
      </c>
      <c r="O29" t="inlineStr">
        <is>
          <t>2023-11</t>
        </is>
      </c>
      <c r="P29" t="inlineStr">
        <is>
          <t>https://renews.biz/89227/sarens-keeps-scottish-wind-farm-ticking-over/</t>
        </is>
      </c>
      <c r="Q29" t="inlineStr">
        <is>
          <t>https://renews.biz/89227/sarens-keeps-scottish-wind-farm-ticking-over/</t>
        </is>
      </c>
      <c r="U29" t="inlineStr">
        <is>
          <t>https://renews.biz/89227/sarens-keeps-scottish-wind-farm-ticking-over/</t>
        </is>
      </c>
      <c r="V29" t="inlineStr">
        <is>
          <t>b581084f-a69b-541a-933e-34f9be3b982a</t>
        </is>
      </c>
    </row>
    <row r="30">
      <c r="A30" t="inlineStr">
        <is>
          <t>siemens</t>
        </is>
      </c>
      <c r="B30" t="inlineStr">
        <is>
          <t>GB</t>
        </is>
      </c>
      <c r="C30" t="inlineStr">
        <is>
          <t>Kingston upon Hull</t>
        </is>
      </c>
      <c r="D30" t="inlineStr">
        <is>
          <t>wind</t>
        </is>
      </c>
      <c r="E30" t="inlineStr">
        <is>
          <t>blade, nacelle</t>
        </is>
      </c>
      <c r="F30" t="n">
        <v>1</v>
      </c>
      <c r="G30" t="inlineStr">
        <is>
          <t>operational</t>
        </is>
      </c>
      <c r="J30" t="n">
        <v>354751960</v>
      </c>
      <c r="K30" t="n">
        <v>354751960</v>
      </c>
      <c r="L30" t="b">
        <v>0</v>
      </c>
      <c r="P30" t="inlineStr">
        <is>
          <t>https://www.offshorewind.biz/2016/12/01/siemens-cuts-ribbon-at-hull-wind-turbine-blade-factory/</t>
        </is>
      </c>
      <c r="R30" t="inlineStr">
        <is>
          <t>https://www.offshorewind.biz/2016/12/01/siemens-cuts-ribbon-at-hull-wind-turbine-blade-factory/</t>
        </is>
      </c>
      <c r="V30" t="inlineStr">
        <is>
          <t>19d3731b-574d-51d3-a48e-c742a8fb2e1c</t>
        </is>
      </c>
    </row>
    <row r="31">
      <c r="A31" t="inlineStr">
        <is>
          <t>siemens gamesa</t>
        </is>
      </c>
      <c r="B31" t="inlineStr">
        <is>
          <t>DE</t>
        </is>
      </c>
      <c r="C31" t="inlineStr">
        <is>
          <t>Cuxhaven</t>
        </is>
      </c>
      <c r="D31" t="inlineStr">
        <is>
          <t>wind</t>
        </is>
      </c>
      <c r="E31" t="inlineStr">
        <is>
          <t>nacelle, turbine</t>
        </is>
      </c>
      <c r="F31" t="n">
        <v>1</v>
      </c>
      <c r="G31" t="inlineStr">
        <is>
          <t>operational</t>
        </is>
      </c>
      <c r="H31" t="n">
        <v>0.882</v>
      </c>
      <c r="I31" t="n">
        <v>0.882</v>
      </c>
      <c r="L31" t="b">
        <v>0</v>
      </c>
      <c r="M31" t="inlineStr">
        <is>
          <t>2021-02</t>
        </is>
      </c>
      <c r="N31" t="inlineStr">
        <is>
          <t>2021-02</t>
        </is>
      </c>
      <c r="O31" t="inlineStr">
        <is>
          <t>2024-02</t>
        </is>
      </c>
      <c r="P31" t="inlineStr">
        <is>
          <t>https://renews.biz/91452/first-moray-west-turbines-ready-to-ship/</t>
        </is>
      </c>
      <c r="Q31" t="inlineStr">
        <is>
          <t>https://renews.biz/91452/first-moray-west-turbines-ready-to-ship/</t>
        </is>
      </c>
      <c r="U31" t="inlineStr">
        <is>
          <t>https://renews.biz/91452/first-moray-west-turbines-ready-to-ship/</t>
        </is>
      </c>
      <c r="V31" t="inlineStr">
        <is>
          <t>bdbe183f-e429-56e9-8cbf-1f83f104eb64</t>
        </is>
      </c>
    </row>
    <row r="32">
      <c r="A32" t="inlineStr">
        <is>
          <t>siemens gamesa</t>
        </is>
      </c>
      <c r="B32" t="inlineStr">
        <is>
          <t>DK</t>
        </is>
      </c>
      <c r="C32" t="inlineStr">
        <is>
          <t>Ålborg Kommune</t>
        </is>
      </c>
      <c r="D32" t="inlineStr">
        <is>
          <t>wind</t>
        </is>
      </c>
      <c r="E32" t="inlineStr">
        <is>
          <t>blade</t>
        </is>
      </c>
      <c r="F32" t="n">
        <v>1</v>
      </c>
      <c r="G32" t="inlineStr">
        <is>
          <t>under construction</t>
        </is>
      </c>
      <c r="J32" t="n">
        <v>21746708</v>
      </c>
      <c r="K32" t="n">
        <v>21746708</v>
      </c>
      <c r="L32" t="b">
        <v>0</v>
      </c>
      <c r="M32" t="inlineStr">
        <is>
          <t>2020-03</t>
        </is>
      </c>
      <c r="N32" t="inlineStr">
        <is>
          <t>2020-03</t>
        </is>
      </c>
      <c r="O32" t="inlineStr">
        <is>
          <t>2023-03</t>
        </is>
      </c>
      <c r="P32" t="inlineStr">
        <is>
          <t>https://energywatch.com/EnergyNews/Renewables/article11977294.ece</t>
        </is>
      </c>
      <c r="Q32" t="inlineStr">
        <is>
          <t>https://energywatch.com/EnergyNews/Renewables/article11977294.ece</t>
        </is>
      </c>
      <c r="R32" t="inlineStr">
        <is>
          <t>https://aalborgrenewables.com/siemens-gamesas-major-aalborg-expansion-supported-by-government-funding/</t>
        </is>
      </c>
      <c r="S32" t="inlineStr">
        <is>
          <t>https://energywatch.com/EnergyNews/Renewables/article11977294.ece</t>
        </is>
      </c>
      <c r="T32" t="inlineStr">
        <is>
          <t>https://energywatch.com/EnergyNews/Renewables/article11977294.ece</t>
        </is>
      </c>
      <c r="V32" t="inlineStr">
        <is>
          <t>f9bd677b-6281-526d-a97b-e4f66be41593</t>
        </is>
      </c>
    </row>
    <row r="33">
      <c r="A33" t="inlineStr">
        <is>
          <t>valorem</t>
        </is>
      </c>
      <c r="B33" t="inlineStr">
        <is>
          <t>GR</t>
        </is>
      </c>
      <c r="C33" t="inlineStr">
        <is>
          <t>West Macedonia</t>
        </is>
      </c>
      <c r="D33" t="inlineStr">
        <is>
          <t>wind</t>
        </is>
      </c>
      <c r="E33" t="inlineStr">
        <is>
          <t>turbine</t>
        </is>
      </c>
      <c r="F33" t="n">
        <v>1</v>
      </c>
      <c r="G33" t="inlineStr">
        <is>
          <t>under construction</t>
        </is>
      </c>
      <c r="H33" t="n">
        <v>0.027</v>
      </c>
      <c r="I33" t="n">
        <v>0.027</v>
      </c>
      <c r="J33" t="n">
        <v>40000000</v>
      </c>
      <c r="K33" t="n">
        <v>40000000</v>
      </c>
      <c r="L33" t="b">
        <v>0</v>
      </c>
      <c r="M33" t="inlineStr">
        <is>
          <t>2022-12</t>
        </is>
      </c>
      <c r="N33" t="inlineStr">
        <is>
          <t>2022-12</t>
        </is>
      </c>
      <c r="O33" t="inlineStr">
        <is>
          <t>2025-12</t>
        </is>
      </c>
      <c r="P33" t="inlineStr">
        <is>
          <t>https://renews.biz/82456/valorem-secures-finance-for-27mw-greek-wind-project/</t>
        </is>
      </c>
      <c r="Q33" t="inlineStr">
        <is>
          <t>https://renews.biz/82456/valorem-secures-finance-for-27mw-greek-wind-project/</t>
        </is>
      </c>
      <c r="R33" t="inlineStr">
        <is>
          <t>https://renews.biz/82456/valorem-secures-finance-for-27mw-greek-wind-project/</t>
        </is>
      </c>
      <c r="S33" t="inlineStr">
        <is>
          <t>https://renews.biz/82456/valorem-secures-finance-for-27mw-greek-wind-project/</t>
        </is>
      </c>
      <c r="T33" t="inlineStr">
        <is>
          <t>https://renews.biz/82456/valorem-secures-finance-for-27mw-greek-wind-project/</t>
        </is>
      </c>
      <c r="V33" t="inlineStr">
        <is>
          <t>32757804-6312-5f68-9f71-6a6aa34d6ab0</t>
        </is>
      </c>
    </row>
    <row r="34">
      <c r="A34" t="inlineStr">
        <is>
          <t>vestas</t>
        </is>
      </c>
      <c r="B34" t="inlineStr">
        <is>
          <t>GB</t>
        </is>
      </c>
      <c r="C34" t="inlineStr">
        <is>
          <t>Isle of Wight</t>
        </is>
      </c>
      <c r="D34" t="inlineStr">
        <is>
          <t>wind</t>
        </is>
      </c>
      <c r="E34" t="inlineStr">
        <is>
          <t>blade, turbine</t>
        </is>
      </c>
      <c r="F34" t="n">
        <v>1</v>
      </c>
      <c r="G34" t="inlineStr">
        <is>
          <t>announced</t>
        </is>
      </c>
      <c r="J34" t="n">
        <v>1200624325</v>
      </c>
      <c r="K34" t="n">
        <v>1200624325</v>
      </c>
      <c r="L34" t="b">
        <v>0</v>
      </c>
      <c r="M34" t="inlineStr">
        <is>
          <t>2022-03</t>
        </is>
      </c>
      <c r="P34" t="inlineStr">
        <is>
          <t>https://renews.biz/76605/vestas-to-make-v174-95mw-blades-on-isle-of-wight/</t>
        </is>
      </c>
      <c r="R34" t="inlineStr">
        <is>
          <t>https://renews.biz/76605/vestas-to-make-v174-95mw-blades-on-isle-of-wight/</t>
        </is>
      </c>
      <c r="S34" t="inlineStr">
        <is>
          <t>https://renews.biz/76605/vestas-to-make-v174-95mw-blades-on-isle-of-wight/</t>
        </is>
      </c>
      <c r="V34" t="inlineStr">
        <is>
          <t>c6be606c-84ed-50ed-86bd-2ec93ce7493a</t>
        </is>
      </c>
    </row>
    <row r="35">
      <c r="A35" t="inlineStr">
        <is>
          <t>vestas</t>
        </is>
      </c>
      <c r="B35" t="inlineStr">
        <is>
          <t>IT</t>
        </is>
      </c>
      <c r="C35" t="inlineStr">
        <is>
          <t>Taranto</t>
        </is>
      </c>
      <c r="D35" t="inlineStr">
        <is>
          <t>wind</t>
        </is>
      </c>
      <c r="E35" t="inlineStr">
        <is>
          <t>blade</t>
        </is>
      </c>
      <c r="F35" t="n">
        <v>1</v>
      </c>
      <c r="G35" t="inlineStr">
        <is>
          <t>announced</t>
        </is>
      </c>
      <c r="J35" t="n">
        <v>10000000</v>
      </c>
      <c r="K35" t="n">
        <v>10000000</v>
      </c>
      <c r="L35" t="b">
        <v>0</v>
      </c>
      <c r="M35" t="inlineStr">
        <is>
          <t>2013-10</t>
        </is>
      </c>
      <c r="P35" t="inlineStr">
        <is>
          <t>https://www.offshore-windindustry.com/news/wind/article-3896-vestas-to-invest-in-the-taranto-blades-factory</t>
        </is>
      </c>
      <c r="R35" t="inlineStr">
        <is>
          <t>https://www.offshore-windindustry.com/news/wind/article-3896-vestas-to-invest-in-the-taranto-blades-factory</t>
        </is>
      </c>
      <c r="S35" t="inlineStr">
        <is>
          <t>https://www.offshore-windindustry.com/news/wind/article-3896-vestas-to-invest-in-the-taranto-blades-factory</t>
        </is>
      </c>
      <c r="V35" t="inlineStr">
        <is>
          <t>3a56557b-5ee7-5539-b0e2-437a45735fc4</t>
        </is>
      </c>
    </row>
    <row r="36">
      <c r="A36" t="inlineStr">
        <is>
          <t>vestas</t>
        </is>
      </c>
      <c r="B36" t="inlineStr">
        <is>
          <t>IT</t>
        </is>
      </c>
      <c r="C36" t="inlineStr">
        <is>
          <t>Taranto</t>
        </is>
      </c>
      <c r="D36" t="inlineStr">
        <is>
          <t>wind</t>
        </is>
      </c>
      <c r="E36" t="inlineStr">
        <is>
          <t>blade</t>
        </is>
      </c>
      <c r="F36" t="n">
        <v>2</v>
      </c>
      <c r="G36" t="inlineStr">
        <is>
          <t>announced</t>
        </is>
      </c>
      <c r="J36" t="n">
        <v>190000000</v>
      </c>
      <c r="K36" t="n">
        <v>200000000</v>
      </c>
      <c r="L36" t="b">
        <v>0</v>
      </c>
      <c r="M36" t="inlineStr">
        <is>
          <t>2025-09</t>
        </is>
      </c>
      <c r="P36" t="inlineStr">
        <is>
          <t>https://www.portseurope.com/vestas-plans-e200-million-expansion-in-taranto/</t>
        </is>
      </c>
      <c r="Q36" t="inlineStr">
        <is>
          <t>https://www.portseurope.com/vestas-plans-e200-million-expansion-in-taranto/</t>
        </is>
      </c>
      <c r="R36" t="inlineStr">
        <is>
          <t>https://www.plasteurope.com/news/VESTAS_t258692/</t>
        </is>
      </c>
      <c r="S36" t="inlineStr">
        <is>
          <t>https://www.portseurope.com/vestas-plans-e200-million-expansion-in-taranto/</t>
        </is>
      </c>
      <c r="V36" t="inlineStr">
        <is>
          <t>3a56557b-5ee7-5539-b0e2-437a45735fc4</t>
        </is>
      </c>
    </row>
    <row r="37">
      <c r="A37" t="inlineStr">
        <is>
          <t>vsb neue energien deutschland gmbh</t>
        </is>
      </c>
      <c r="B37" t="inlineStr">
        <is>
          <t>DE</t>
        </is>
      </c>
      <c r="C37" t="inlineStr">
        <is>
          <t>Wittenberg</t>
        </is>
      </c>
      <c r="D37" t="inlineStr">
        <is>
          <t>wind</t>
        </is>
      </c>
      <c r="E37" t="inlineStr">
        <is>
          <t>turbine</t>
        </is>
      </c>
      <c r="F37" t="n">
        <v>1</v>
      </c>
      <c r="G37" t="inlineStr">
        <is>
          <t>announced</t>
        </is>
      </c>
      <c r="H37" t="n">
        <v>0.105</v>
      </c>
      <c r="I37" t="n">
        <v>0.105</v>
      </c>
      <c r="L37" t="b">
        <v>0</v>
      </c>
      <c r="M37" t="inlineStr">
        <is>
          <t>2023-02</t>
        </is>
      </c>
      <c r="P37" t="inlineStr">
        <is>
          <t>https://renews.biz/84129/vsb-wins-approval-for-german-wind-repowering/</t>
        </is>
      </c>
      <c r="Q37" t="inlineStr">
        <is>
          <t>https://renews.biz/84129/vsb-wins-approval-for-german-wind-repowering/</t>
        </is>
      </c>
      <c r="S37" t="inlineStr">
        <is>
          <t>https://renews.biz/84129/vsb-wins-approval-for-german-wind-repowering/</t>
        </is>
      </c>
      <c r="V37" t="inlineStr">
        <is>
          <t>17894dea-a9b4-5d2b-b999-d95dec049024</t>
        </is>
      </c>
    </row>
    <row r="38">
      <c r="A38" t="inlineStr">
        <is>
          <t>windar renovables</t>
        </is>
      </c>
      <c r="B38" t="inlineStr">
        <is>
          <t>PL</t>
        </is>
      </c>
      <c r="C38" t="inlineStr">
        <is>
          <t>Szczecin</t>
        </is>
      </c>
      <c r="D38" t="inlineStr">
        <is>
          <t>wind</t>
        </is>
      </c>
      <c r="E38" t="inlineStr">
        <is>
          <t>tower</t>
        </is>
      </c>
      <c r="F38" t="n">
        <v>1</v>
      </c>
      <c r="G38" t="inlineStr">
        <is>
          <t>announced</t>
        </is>
      </c>
      <c r="J38" t="n">
        <v>80000000</v>
      </c>
      <c r="K38" t="n">
        <v>80000000</v>
      </c>
      <c r="L38" t="b">
        <v>0</v>
      </c>
      <c r="M38" t="inlineStr">
        <is>
          <t>2024-01</t>
        </is>
      </c>
      <c r="P38" t="inlineStr">
        <is>
          <t>https://www.offshorewind.biz/2024/01/16/windar-to-produce-towers-for-20-mw-offshore-wind-turbines-in-poland/</t>
        </is>
      </c>
      <c r="Q38" t="inlineStr">
        <is>
          <t>https://www.offshorewind.biz/2024/01/16/windar-to-produce-towers-for-20-mw-offshore-wind-turbines-in-poland/</t>
        </is>
      </c>
      <c r="R38" t="inlineStr">
        <is>
          <t>https://www.offshorewind.biz/2024/01/16/windar-to-produce-towers-for-20-mw-offshore-wind-turbines-in-poland/</t>
        </is>
      </c>
      <c r="S38" t="inlineStr">
        <is>
          <t>https://www.offshorewind.biz/2024/01/16/windar-to-produce-towers-for-20-mw-offshore-wind-turbines-in-poland/</t>
        </is>
      </c>
      <c r="V38" t="inlineStr">
        <is>
          <t>da776080-8631-51d5-a41a-26c5453d3cbe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2025-11-21T17:18:55Z</dcterms:created>
  <dcterms:modified xsi:type="dcterms:W3CDTF">2025-12-16T17:08:31Z</dcterms:modified>
  <cp:lastModifiedBy>Ben McWilliams</cp:lastModifiedBy>
</cp:coreProperties>
</file>