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benjamin_mcwilliams/Documents/bruegel/data_new/WORKING/INDUSTRY/tuone_v6/"/>
    </mc:Choice>
  </mc:AlternateContent>
  <xr:revisionPtr revIDLastSave="0" documentId="13_ncr:1_{C8234FF9-A443-1546-A4CD-507EE0020680}" xr6:coauthVersionLast="47" xr6:coauthVersionMax="47" xr10:uidLastSave="{00000000-0000-0000-0000-000000000000}"/>
  <bookViews>
    <workbookView xWindow="0" yWindow="760" windowWidth="29400" windowHeight="16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2" i="1"/>
  <c r="P16" i="1"/>
</calcChain>
</file>

<file path=xl/sharedStrings.xml><?xml version="1.0" encoding="utf-8"?>
<sst xmlns="http://schemas.openxmlformats.org/spreadsheetml/2006/main" count="42" uniqueCount="28">
  <si>
    <t>Vehicle Production Country</t>
  </si>
  <si>
    <t>Belgium</t>
  </si>
  <si>
    <t>Czech Rep.</t>
  </si>
  <si>
    <t>France</t>
  </si>
  <si>
    <t>Germany</t>
  </si>
  <si>
    <t>Hungary</t>
  </si>
  <si>
    <t>Italy</t>
  </si>
  <si>
    <t>Poland</t>
  </si>
  <si>
    <t>Slovakia</t>
  </si>
  <si>
    <t>Slovenia</t>
  </si>
  <si>
    <t>Spain</t>
  </si>
  <si>
    <t>Sweden</t>
  </si>
  <si>
    <t>UK</t>
  </si>
  <si>
    <t>country</t>
  </si>
  <si>
    <t>operational</t>
  </si>
  <si>
    <t>BELGIUM</t>
  </si>
  <si>
    <t>CZECHIA</t>
  </si>
  <si>
    <t>FRANCE</t>
  </si>
  <si>
    <t>GERMANY</t>
  </si>
  <si>
    <t>HUNGARY</t>
  </si>
  <si>
    <t>ITALY</t>
  </si>
  <si>
    <t>POLAND</t>
  </si>
  <si>
    <t>SLOVAKIA</t>
  </si>
  <si>
    <t>SLOVENIA</t>
  </si>
  <si>
    <t>SPAIN</t>
  </si>
  <si>
    <t>SWEDEN</t>
  </si>
  <si>
    <t>UNITED KINGDOM</t>
  </si>
  <si>
    <t>utilisation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</si>
</sst>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1"/>
  <sheetViews>
    <sheetView tabSelected="1" topLeftCell="A14" zoomScale="158" workbookViewId="0">
      <selection activeCell="J28" sqref="J28"/>
    </sheetView>
  </sheetViews>
  <sheetFormatPr baseColWidth="10" defaultColWidth="8.83203125" defaultRowHeight="15" x14ac:dyDescent="0.2"/>
  <cols>
    <col min="1" max="1" width="23" bestFit="1" customWidth="1"/>
    <col min="5" max="5" width="23" bestFit="1" customWidth="1"/>
    <col min="20" max="20" width="14.83203125" bestFit="1" customWidth="1"/>
  </cols>
  <sheetData>
    <row r="1" spans="1:21" x14ac:dyDescent="0.2">
      <c r="A1" s="1" t="s">
        <v>0</v>
      </c>
      <c r="B1" s="1">
        <v>2010</v>
      </c>
      <c r="C1" s="1">
        <v>2011</v>
      </c>
      <c r="D1" s="1">
        <v>2012</v>
      </c>
      <c r="E1" s="1">
        <v>2013</v>
      </c>
      <c r="F1" s="1">
        <v>2014</v>
      </c>
      <c r="G1" s="1">
        <v>2015</v>
      </c>
      <c r="H1" s="1">
        <v>2016</v>
      </c>
      <c r="I1" s="1">
        <v>2017</v>
      </c>
      <c r="J1" s="1">
        <v>2018</v>
      </c>
      <c r="K1" s="1">
        <v>2019</v>
      </c>
      <c r="L1" s="1">
        <v>2020</v>
      </c>
      <c r="M1" s="1">
        <v>2021</v>
      </c>
      <c r="N1" s="1">
        <v>2022</v>
      </c>
      <c r="O1" s="1">
        <v>2023</v>
      </c>
      <c r="P1" s="1">
        <v>2024</v>
      </c>
      <c r="R1" t="s">
        <v>27</v>
      </c>
      <c r="T1" t="s">
        <v>13</v>
      </c>
      <c r="U1" t="s">
        <v>14</v>
      </c>
    </row>
    <row r="2" spans="1:21" x14ac:dyDescent="0.2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940</v>
      </c>
      <c r="K2">
        <v>25376</v>
      </c>
      <c r="L2">
        <v>81930</v>
      </c>
      <c r="M2">
        <v>118261</v>
      </c>
      <c r="N2">
        <v>148852</v>
      </c>
      <c r="O2">
        <v>180986</v>
      </c>
      <c r="P2">
        <v>109555</v>
      </c>
      <c r="R2">
        <f>P2/U2</f>
        <v>0.44716326530612244</v>
      </c>
      <c r="T2" t="s">
        <v>15</v>
      </c>
      <c r="U2">
        <v>245000</v>
      </c>
    </row>
    <row r="3" spans="1:21" x14ac:dyDescent="0.2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95</v>
      </c>
      <c r="L3">
        <v>56930</v>
      </c>
      <c r="M3">
        <v>136122</v>
      </c>
      <c r="N3">
        <v>139975</v>
      </c>
      <c r="O3">
        <v>161924</v>
      </c>
      <c r="P3">
        <v>159888</v>
      </c>
      <c r="R3">
        <f t="shared" ref="R3:R13" si="0">P3/U3</f>
        <v>1.06592</v>
      </c>
      <c r="T3" t="s">
        <v>16</v>
      </c>
      <c r="U3">
        <v>150000</v>
      </c>
    </row>
    <row r="4" spans="1:21" x14ac:dyDescent="0.2">
      <c r="A4" t="s">
        <v>3</v>
      </c>
      <c r="B4">
        <v>766</v>
      </c>
      <c r="C4">
        <v>3006</v>
      </c>
      <c r="D4">
        <v>8404</v>
      </c>
      <c r="E4">
        <v>19235</v>
      </c>
      <c r="F4">
        <v>22008</v>
      </c>
      <c r="G4">
        <v>27841</v>
      </c>
      <c r="H4">
        <v>28817</v>
      </c>
      <c r="I4">
        <v>42497</v>
      </c>
      <c r="J4">
        <v>60045</v>
      </c>
      <c r="K4">
        <v>72911</v>
      </c>
      <c r="L4">
        <v>177402</v>
      </c>
      <c r="M4">
        <v>231330</v>
      </c>
      <c r="N4">
        <v>232722</v>
      </c>
      <c r="O4">
        <v>242346</v>
      </c>
      <c r="P4">
        <v>211871</v>
      </c>
      <c r="R4">
        <f t="shared" si="0"/>
        <v>0.40744423076923075</v>
      </c>
      <c r="T4" t="s">
        <v>17</v>
      </c>
      <c r="U4">
        <v>520000</v>
      </c>
    </row>
    <row r="5" spans="1:21" x14ac:dyDescent="0.2">
      <c r="A5" t="s">
        <v>4</v>
      </c>
      <c r="B5">
        <v>0</v>
      </c>
      <c r="C5">
        <v>0</v>
      </c>
      <c r="D5">
        <v>843</v>
      </c>
      <c r="E5">
        <v>1622</v>
      </c>
      <c r="F5">
        <v>26205</v>
      </c>
      <c r="G5">
        <v>94504</v>
      </c>
      <c r="H5">
        <v>114892</v>
      </c>
      <c r="I5">
        <v>167545</v>
      </c>
      <c r="J5">
        <v>182197</v>
      </c>
      <c r="K5">
        <v>175372</v>
      </c>
      <c r="L5">
        <v>435912</v>
      </c>
      <c r="M5">
        <v>670362</v>
      </c>
      <c r="N5">
        <v>857368</v>
      </c>
      <c r="O5">
        <v>1216296</v>
      </c>
      <c r="P5">
        <v>1342811</v>
      </c>
      <c r="R5">
        <f t="shared" si="0"/>
        <v>0.59659806822523742</v>
      </c>
      <c r="T5" t="s">
        <v>18</v>
      </c>
      <c r="U5">
        <v>2250780</v>
      </c>
    </row>
    <row r="6" spans="1:21" x14ac:dyDescent="0.2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17</v>
      </c>
      <c r="L6">
        <v>76</v>
      </c>
      <c r="M6">
        <v>18224</v>
      </c>
      <c r="N6">
        <v>43313</v>
      </c>
      <c r="O6">
        <v>61611</v>
      </c>
      <c r="P6">
        <v>68090</v>
      </c>
      <c r="R6">
        <f t="shared" si="0"/>
        <v>0.25125461254612547</v>
      </c>
      <c r="T6" t="s">
        <v>19</v>
      </c>
      <c r="U6">
        <v>271000</v>
      </c>
    </row>
    <row r="7" spans="1:21" x14ac:dyDescent="0.2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19</v>
      </c>
      <c r="K7">
        <v>57</v>
      </c>
      <c r="L7">
        <v>15823</v>
      </c>
      <c r="M7">
        <v>77309</v>
      </c>
      <c r="N7">
        <v>113710</v>
      </c>
      <c r="O7">
        <v>111864</v>
      </c>
      <c r="P7">
        <v>72853</v>
      </c>
      <c r="R7">
        <f t="shared" si="0"/>
        <v>0.8231977401129944</v>
      </c>
      <c r="T7" t="s">
        <v>20</v>
      </c>
      <c r="U7">
        <v>88500</v>
      </c>
    </row>
    <row r="8" spans="1:21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97</v>
      </c>
      <c r="K8">
        <v>1177</v>
      </c>
      <c r="L8">
        <v>2422</v>
      </c>
      <c r="M8">
        <v>2879</v>
      </c>
      <c r="N8">
        <v>3235</v>
      </c>
      <c r="O8">
        <v>15717</v>
      </c>
      <c r="P8">
        <v>31772</v>
      </c>
      <c r="R8">
        <f t="shared" si="0"/>
        <v>0.79430000000000001</v>
      </c>
      <c r="T8" t="s">
        <v>21</v>
      </c>
      <c r="U8">
        <v>40000</v>
      </c>
    </row>
    <row r="9" spans="1:21" x14ac:dyDescent="0.2">
      <c r="A9" t="s">
        <v>8</v>
      </c>
      <c r="B9">
        <v>0</v>
      </c>
      <c r="C9">
        <v>0</v>
      </c>
      <c r="D9">
        <v>0</v>
      </c>
      <c r="E9">
        <v>1495</v>
      </c>
      <c r="F9">
        <v>6073</v>
      </c>
      <c r="G9">
        <v>8175</v>
      </c>
      <c r="H9">
        <v>14855</v>
      </c>
      <c r="I9">
        <v>13895</v>
      </c>
      <c r="J9">
        <v>11437</v>
      </c>
      <c r="K9">
        <v>13659</v>
      </c>
      <c r="L9">
        <v>115285</v>
      </c>
      <c r="M9">
        <v>172471</v>
      </c>
      <c r="N9">
        <v>148712</v>
      </c>
      <c r="O9">
        <v>135956</v>
      </c>
      <c r="P9">
        <v>114580</v>
      </c>
      <c r="R9">
        <f t="shared" si="0"/>
        <v>0.4092142857142857</v>
      </c>
      <c r="T9" t="s">
        <v>22</v>
      </c>
      <c r="U9">
        <v>280000</v>
      </c>
    </row>
    <row r="10" spans="1:21" x14ac:dyDescent="0.2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1445</v>
      </c>
      <c r="J10">
        <v>4443</v>
      </c>
      <c r="K10">
        <v>5329</v>
      </c>
      <c r="L10">
        <v>12693</v>
      </c>
      <c r="M10">
        <v>34458</v>
      </c>
      <c r="N10">
        <v>30355</v>
      </c>
      <c r="O10">
        <v>17827</v>
      </c>
      <c r="P10">
        <v>14165</v>
      </c>
      <c r="R10">
        <f t="shared" si="0"/>
        <v>0.35412500000000002</v>
      </c>
      <c r="T10" t="s">
        <v>23</v>
      </c>
      <c r="U10">
        <v>40000</v>
      </c>
    </row>
    <row r="11" spans="1:21" x14ac:dyDescent="0.2">
      <c r="A11" t="s">
        <v>10</v>
      </c>
      <c r="B11">
        <v>202</v>
      </c>
      <c r="C11">
        <v>229</v>
      </c>
      <c r="D11">
        <v>9155</v>
      </c>
      <c r="E11">
        <v>3247</v>
      </c>
      <c r="F11">
        <v>4298</v>
      </c>
      <c r="G11">
        <v>6783</v>
      </c>
      <c r="H11">
        <v>8840</v>
      </c>
      <c r="I11">
        <v>9485</v>
      </c>
      <c r="J11">
        <v>11710</v>
      </c>
      <c r="K11">
        <v>15504</v>
      </c>
      <c r="L11">
        <v>92846</v>
      </c>
      <c r="M11">
        <v>212721</v>
      </c>
      <c r="N11">
        <v>216161</v>
      </c>
      <c r="O11">
        <v>244350</v>
      </c>
      <c r="P11">
        <v>242414</v>
      </c>
      <c r="R11">
        <f t="shared" si="0"/>
        <v>0.5269869565217391</v>
      </c>
      <c r="T11" t="s">
        <v>24</v>
      </c>
      <c r="U11">
        <v>460000</v>
      </c>
    </row>
    <row r="12" spans="1:21" x14ac:dyDescent="0.2">
      <c r="A12" t="s">
        <v>11</v>
      </c>
      <c r="B12">
        <v>50</v>
      </c>
      <c r="C12">
        <v>72</v>
      </c>
      <c r="D12">
        <v>204</v>
      </c>
      <c r="E12">
        <v>7418</v>
      </c>
      <c r="F12">
        <v>5110</v>
      </c>
      <c r="G12">
        <v>9986</v>
      </c>
      <c r="H12">
        <v>16326</v>
      </c>
      <c r="I12">
        <v>16215</v>
      </c>
      <c r="J12">
        <v>18212</v>
      </c>
      <c r="K12">
        <v>25010</v>
      </c>
      <c r="L12">
        <v>44234</v>
      </c>
      <c r="M12">
        <v>68539</v>
      </c>
      <c r="N12">
        <v>59881</v>
      </c>
      <c r="O12">
        <v>63845</v>
      </c>
      <c r="P12">
        <v>85654</v>
      </c>
      <c r="R12">
        <f t="shared" si="0"/>
        <v>0.71378333333333333</v>
      </c>
      <c r="T12" t="s">
        <v>25</v>
      </c>
      <c r="U12">
        <v>120000</v>
      </c>
    </row>
    <row r="13" spans="1:21" x14ac:dyDescent="0.2">
      <c r="A13" t="s">
        <v>12</v>
      </c>
      <c r="B13">
        <v>12</v>
      </c>
      <c r="C13">
        <v>1717</v>
      </c>
      <c r="D13">
        <v>5230</v>
      </c>
      <c r="E13">
        <v>10962</v>
      </c>
      <c r="F13">
        <v>14972</v>
      </c>
      <c r="G13">
        <v>15610</v>
      </c>
      <c r="H13">
        <v>18886</v>
      </c>
      <c r="I13">
        <v>17708</v>
      </c>
      <c r="J13">
        <v>51048</v>
      </c>
      <c r="K13">
        <v>50452</v>
      </c>
      <c r="L13">
        <v>67191</v>
      </c>
      <c r="M13">
        <v>108731</v>
      </c>
      <c r="N13">
        <v>110492</v>
      </c>
      <c r="O13">
        <v>123912</v>
      </c>
      <c r="P13">
        <v>81706</v>
      </c>
      <c r="R13">
        <f t="shared" si="0"/>
        <v>0.37054875283446714</v>
      </c>
      <c r="T13" t="s">
        <v>26</v>
      </c>
      <c r="U13">
        <v>220500</v>
      </c>
    </row>
    <row r="16" spans="1:21" x14ac:dyDescent="0.2">
      <c r="P16">
        <f>SUM(P2:P13)</f>
        <v>2535359</v>
      </c>
    </row>
    <row r="19" spans="5:6" x14ac:dyDescent="0.2">
      <c r="E19" s="1" t="s">
        <v>0</v>
      </c>
      <c r="F19" t="s">
        <v>27</v>
      </c>
    </row>
    <row r="20" spans="5:6" x14ac:dyDescent="0.2">
      <c r="E20" t="s">
        <v>1</v>
      </c>
      <c r="F20" s="2">
        <v>0.44716326530612244</v>
      </c>
    </row>
    <row r="21" spans="5:6" x14ac:dyDescent="0.2">
      <c r="E21" t="s">
        <v>2</v>
      </c>
      <c r="F21" s="2">
        <v>1.06592</v>
      </c>
    </row>
    <row r="22" spans="5:6" x14ac:dyDescent="0.2">
      <c r="E22" t="s">
        <v>3</v>
      </c>
      <c r="F22" s="2">
        <v>0.40744423076923075</v>
      </c>
    </row>
    <row r="23" spans="5:6" x14ac:dyDescent="0.2">
      <c r="E23" t="s">
        <v>4</v>
      </c>
      <c r="F23" s="2">
        <v>0.59659806822523742</v>
      </c>
    </row>
    <row r="24" spans="5:6" x14ac:dyDescent="0.2">
      <c r="E24" t="s">
        <v>5</v>
      </c>
      <c r="F24" s="2">
        <v>0.25125461254612547</v>
      </c>
    </row>
    <row r="25" spans="5:6" x14ac:dyDescent="0.2">
      <c r="E25" t="s">
        <v>6</v>
      </c>
      <c r="F25" s="2">
        <v>0.8231977401129944</v>
      </c>
    </row>
    <row r="26" spans="5:6" x14ac:dyDescent="0.2">
      <c r="E26" t="s">
        <v>7</v>
      </c>
      <c r="F26" s="2">
        <v>0.79430000000000001</v>
      </c>
    </row>
    <row r="27" spans="5:6" x14ac:dyDescent="0.2">
      <c r="E27" t="s">
        <v>8</v>
      </c>
      <c r="F27" s="2">
        <v>0.4092142857142857</v>
      </c>
    </row>
    <row r="28" spans="5:6" x14ac:dyDescent="0.2">
      <c r="E28" t="s">
        <v>9</v>
      </c>
      <c r="F28" s="2">
        <v>0.35412500000000002</v>
      </c>
    </row>
    <row r="29" spans="5:6" x14ac:dyDescent="0.2">
      <c r="E29" t="s">
        <v>10</v>
      </c>
      <c r="F29" s="2">
        <v>0.5269869565217391</v>
      </c>
    </row>
    <row r="30" spans="5:6" x14ac:dyDescent="0.2">
      <c r="E30" t="s">
        <v>11</v>
      </c>
      <c r="F30" s="2">
        <v>0.71378333333333333</v>
      </c>
    </row>
    <row r="31" spans="5:6" x14ac:dyDescent="0.2">
      <c r="E31" t="s">
        <v>12</v>
      </c>
      <c r="F31" s="2">
        <v>0.37054875283446714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 McWilliams</cp:lastModifiedBy>
  <dcterms:created xsi:type="dcterms:W3CDTF">2025-12-03T17:40:11Z</dcterms:created>
  <dcterms:modified xsi:type="dcterms:W3CDTF">2025-12-03T17:47:37Z</dcterms:modified>
</cp:coreProperties>
</file>